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관투자 온투업사 연체 관리" sheetId="1" r:id="rId4"/>
  </sheets>
  <definedNames/>
  <calcPr/>
  <extLst>
    <ext uri="GoogleSheetsCustomDataVersion2">
      <go:sheetsCustomData xmlns:go="http://customooxmlschemas.google.com/" r:id="rId5" roundtripDataChecksum="Hgxl0tSN8p1TRgbZreWFYHztNeCgLI5c+BkbAFod90U="/>
    </ext>
  </extLst>
</workbook>
</file>

<file path=xl/sharedStrings.xml><?xml version="1.0" encoding="utf-8"?>
<sst xmlns="http://schemas.openxmlformats.org/spreadsheetml/2006/main" count="69" uniqueCount="16">
  <si>
    <t>기관투자 참여 온투업사 개인신용 연체 관리 현황</t>
  </si>
  <si>
    <t>시기</t>
  </si>
  <si>
    <t>항목</t>
  </si>
  <si>
    <t>PFCT</t>
  </si>
  <si>
    <t>어니스트AI</t>
  </si>
  <si>
    <t>한패스파이낸셜</t>
  </si>
  <si>
    <t>에잇퍼센트</t>
  </si>
  <si>
    <t>머니무브</t>
  </si>
  <si>
    <t>모우다</t>
  </si>
  <si>
    <t>비고</t>
  </si>
  <si>
    <t>개인신용 대출잔액</t>
  </si>
  <si>
    <t>-</t>
  </si>
  <si>
    <t>연체금액</t>
  </si>
  <si>
    <t>연체율</t>
  </si>
  <si>
    <t>매각 금액</t>
  </si>
  <si>
    <t xml:space="preserve"> 매각 금액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</si>
</sst>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년&quot;\ m&quot;월&quot;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hair">
        <color rgb="FF000000"/>
      </left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right" vertical="center"/>
    </xf>
    <xf borderId="5" fillId="3" fontId="4" numFmtId="164" xfId="0" applyAlignment="1" applyBorder="1" applyFill="1" applyFont="1" applyNumberFormat="1">
      <alignment horizontal="center" vertical="center"/>
    </xf>
    <xf borderId="6" fillId="3" fontId="4" numFmtId="0" xfId="0" applyAlignment="1" applyBorder="1" applyFont="1">
      <alignment horizontal="center"/>
    </xf>
    <xf borderId="7" fillId="3" fontId="4" numFmtId="3" xfId="0" applyAlignment="1" applyBorder="1" applyFont="1" applyNumberFormat="1">
      <alignment horizontal="right"/>
    </xf>
    <xf borderId="7" fillId="3" fontId="4" numFmtId="0" xfId="0" applyBorder="1" applyFont="1"/>
    <xf borderId="8" fillId="0" fontId="2" numFmtId="0" xfId="0" applyBorder="1" applyFont="1"/>
    <xf borderId="9" fillId="0" fontId="4" numFmtId="10" xfId="0" applyAlignment="1" applyBorder="1" applyFont="1" applyNumberFormat="1">
      <alignment horizontal="right"/>
    </xf>
    <xf borderId="9" fillId="0" fontId="4" numFmtId="10" xfId="0" applyAlignment="1" applyBorder="1" applyFont="1" applyNumberFormat="1">
      <alignment horizontal="right" readingOrder="0"/>
    </xf>
    <xf borderId="9" fillId="0" fontId="4" numFmtId="10" xfId="0" applyAlignment="1" applyBorder="1" applyFont="1" applyNumberFormat="1">
      <alignment horizontal="center"/>
    </xf>
    <xf borderId="10" fillId="0" fontId="2" numFmtId="0" xfId="0" applyBorder="1" applyFont="1"/>
    <xf borderId="11" fillId="4" fontId="4" numFmtId="164" xfId="0" applyAlignment="1" applyBorder="1" applyFill="1" applyFont="1" applyNumberFormat="1">
      <alignment horizontal="center" vertical="center"/>
    </xf>
    <xf borderId="6" fillId="4" fontId="4" numFmtId="0" xfId="0" applyAlignment="1" applyBorder="1" applyFont="1">
      <alignment horizontal="center"/>
    </xf>
    <xf borderId="9" fillId="4" fontId="4" numFmtId="3" xfId="0" applyAlignment="1" applyBorder="1" applyFont="1" applyNumberFormat="1">
      <alignment horizontal="right"/>
    </xf>
    <xf borderId="6" fillId="4" fontId="4" numFmtId="3" xfId="0" applyAlignment="1" applyBorder="1" applyFont="1" applyNumberFormat="1">
      <alignment horizontal="right"/>
    </xf>
    <xf borderId="6" fillId="4" fontId="4" numFmtId="0" xfId="0" applyBorder="1" applyFont="1"/>
    <xf borderId="9" fillId="4" fontId="4" numFmtId="10" xfId="0" applyAlignment="1" applyBorder="1" applyFont="1" applyNumberFormat="1">
      <alignment horizontal="right"/>
    </xf>
    <xf borderId="6" fillId="4" fontId="4" numFmtId="10" xfId="0" applyAlignment="1" applyBorder="1" applyFont="1" applyNumberFormat="1">
      <alignment horizontal="right" readingOrder="0"/>
    </xf>
    <xf borderId="6" fillId="4" fontId="4" numFmtId="10" xfId="0" applyAlignment="1" applyBorder="1" applyFont="1" applyNumberFormat="1">
      <alignment horizontal="right"/>
    </xf>
    <xf borderId="11" fillId="3" fontId="4" numFmtId="164" xfId="0" applyAlignment="1" applyBorder="1" applyFont="1" applyNumberFormat="1">
      <alignment horizontal="center" vertical="center"/>
    </xf>
    <xf borderId="6" fillId="0" fontId="4" numFmtId="3" xfId="0" applyAlignment="1" applyBorder="1" applyFont="1" applyNumberFormat="1">
      <alignment horizontal="right"/>
    </xf>
    <xf borderId="6" fillId="0" fontId="4" numFmtId="3" xfId="0" applyAlignment="1" applyBorder="1" applyFont="1" applyNumberFormat="1">
      <alignment horizontal="right" vertical="center"/>
    </xf>
    <xf borderId="6" fillId="3" fontId="4" numFmtId="3" xfId="0" applyAlignment="1" applyBorder="1" applyFont="1" applyNumberFormat="1">
      <alignment horizontal="right"/>
    </xf>
    <xf borderId="6" fillId="3" fontId="4" numFmtId="0" xfId="0" applyBorder="1" applyFont="1"/>
    <xf borderId="0" fillId="0" fontId="5" numFmtId="3" xfId="0" applyFont="1" applyNumberFormat="1"/>
    <xf borderId="6" fillId="0" fontId="4" numFmtId="10" xfId="0" applyAlignment="1" applyBorder="1" applyFont="1" applyNumberFormat="1">
      <alignment horizontal="right"/>
    </xf>
    <xf borderId="6" fillId="3" fontId="4" numFmtId="9" xfId="0" applyAlignment="1" applyBorder="1" applyFont="1" applyNumberFormat="1">
      <alignment horizontal="right"/>
    </xf>
    <xf borderId="6" fillId="0" fontId="4" numFmtId="10" xfId="0" applyAlignment="1" applyBorder="1" applyFont="1" applyNumberFormat="1">
      <alignment horizontal="right" readingOrder="0" vertical="center"/>
    </xf>
    <xf borderId="6" fillId="3" fontId="4" numFmtId="10" xfId="0" applyAlignment="1" applyBorder="1" applyFont="1" applyNumberFormat="1">
      <alignment horizontal="right"/>
    </xf>
    <xf borderId="6" fillId="0" fontId="4" numFmtId="10" xfId="0" applyAlignment="1" applyBorder="1" applyFont="1" applyNumberFormat="1">
      <alignment horizontal="right" vertical="center"/>
    </xf>
    <xf borderId="6" fillId="4" fontId="4" numFmtId="3" xfId="0" applyAlignment="1" applyBorder="1" applyFont="1" applyNumberFormat="1">
      <alignment horizontal="right" vertical="center"/>
    </xf>
    <xf borderId="6" fillId="4" fontId="4" numFmtId="10" xfId="0" applyAlignment="1" applyBorder="1" applyFont="1" applyNumberFormat="1">
      <alignment horizontal="right" readingOrder="0" vertical="center"/>
    </xf>
    <xf borderId="6" fillId="4" fontId="4" numFmtId="10" xfId="0" applyAlignment="1" applyBorder="1" applyFont="1" applyNumberFormat="1">
      <alignment horizontal="right" vertical="center"/>
    </xf>
    <xf borderId="6" fillId="0" fontId="4" numFmtId="10" xfId="0" applyAlignment="1" applyBorder="1" applyFont="1" applyNumberFormat="1">
      <alignment horizontal="right" readingOrder="0"/>
    </xf>
    <xf borderId="7" fillId="4" fontId="4" numFmtId="3" xfId="0" applyAlignment="1" applyBorder="1" applyFont="1" applyNumberFormat="1">
      <alignment horizontal="right"/>
    </xf>
    <xf borderId="7" fillId="4" fontId="4" numFmtId="0" xfId="0" applyBorder="1" applyFont="1"/>
    <xf borderId="7" fillId="4" fontId="4" numFmtId="10" xfId="0" applyAlignment="1" applyBorder="1" applyFont="1" applyNumberFormat="1">
      <alignment horizontal="right"/>
    </xf>
    <xf borderId="7" fillId="4" fontId="4" numFmtId="10" xfId="0" applyAlignment="1" applyBorder="1" applyFont="1" applyNumberFormat="1">
      <alignment horizontal="right" readingOrder="0"/>
    </xf>
    <xf borderId="8" fillId="0" fontId="4" numFmtId="164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horizontal="center"/>
    </xf>
    <xf borderId="10" fillId="0" fontId="4" numFmtId="3" xfId="0" applyAlignment="1" applyBorder="1" applyFont="1" applyNumberFormat="1">
      <alignment horizontal="right"/>
    </xf>
    <xf borderId="10" fillId="0" fontId="4" numFmtId="0" xfId="0" applyBorder="1" applyFont="1"/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right"/>
    </xf>
    <xf borderId="6" fillId="0" fontId="4" numFmtId="0" xfId="0" applyBorder="1" applyFont="1"/>
    <xf borderId="6" fillId="0" fontId="4" numFmtId="4" xfId="0" applyAlignment="1" applyBorder="1" applyFont="1" applyNumberFormat="1">
      <alignment horizontal="right"/>
    </xf>
    <xf borderId="6" fillId="4" fontId="4" numFmtId="0" xfId="0" applyAlignment="1" applyBorder="1" applyFont="1">
      <alignment horizontal="right"/>
    </xf>
    <xf borderId="6" fillId="4" fontId="4" numFmtId="4" xfId="0" applyAlignment="1" applyBorder="1" applyFont="1" applyNumberFormat="1">
      <alignment horizontal="right"/>
    </xf>
    <xf borderId="6" fillId="4" fontId="4" numFmtId="4" xfId="0" applyBorder="1" applyFont="1" applyNumberFormat="1"/>
    <xf borderId="11" fillId="0" fontId="4" numFmtId="164" xfId="0" applyAlignment="1" applyBorder="1" applyFont="1" applyNumberFormat="1">
      <alignment horizontal="center" vertical="center"/>
    </xf>
    <xf borderId="6" fillId="0" fontId="4" numFmtId="4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9" width="18.0"/>
    <col customWidth="1" min="10" max="26" width="11.0"/>
  </cols>
  <sheetData>
    <row r="1" ht="38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9</v>
      </c>
    </row>
    <row r="3" ht="22.5" customHeight="1">
      <c r="A3" s="6">
        <v>45839.0</v>
      </c>
      <c r="B3" s="7" t="s">
        <v>10</v>
      </c>
      <c r="C3" s="8">
        <v>8.240591157E9</v>
      </c>
      <c r="D3" s="8">
        <f>5409996024+249250804</f>
        <v>5659246828</v>
      </c>
      <c r="E3" s="8" t="s">
        <v>11</v>
      </c>
      <c r="F3" s="8">
        <v>7.363191172E9</v>
      </c>
      <c r="G3" s="8">
        <v>7.861169113E9</v>
      </c>
      <c r="H3" s="8">
        <v>6.625824414E9</v>
      </c>
      <c r="I3" s="9"/>
    </row>
    <row r="4" ht="22.5" customHeight="1">
      <c r="A4" s="10"/>
      <c r="B4" s="7" t="s">
        <v>12</v>
      </c>
      <c r="C4" s="8">
        <v>2.80906747E8</v>
      </c>
      <c r="D4" s="8">
        <v>2.2904767E7</v>
      </c>
      <c r="E4" s="8" t="s">
        <v>11</v>
      </c>
      <c r="F4" s="8">
        <f>291639642</f>
        <v>291639642</v>
      </c>
      <c r="G4" s="8">
        <v>2.11412167E8</v>
      </c>
      <c r="H4" s="8">
        <v>1.297701265E9</v>
      </c>
      <c r="I4" s="9"/>
    </row>
    <row r="5" ht="22.5" customHeight="1">
      <c r="A5" s="10"/>
      <c r="B5" s="7" t="s">
        <v>13</v>
      </c>
      <c r="C5" s="11">
        <v>0.0341</v>
      </c>
      <c r="D5" s="11">
        <v>0.004</v>
      </c>
      <c r="E5" s="8" t="s">
        <v>11</v>
      </c>
      <c r="F5" s="12">
        <v>0.0396</v>
      </c>
      <c r="G5" s="11">
        <v>0.0269</v>
      </c>
      <c r="H5" s="11">
        <v>0.1958</v>
      </c>
      <c r="I5" s="13"/>
    </row>
    <row r="6" ht="22.5" customHeight="1">
      <c r="A6" s="14"/>
      <c r="B6" s="7" t="s">
        <v>14</v>
      </c>
      <c r="C6" s="8">
        <f>71219234</f>
        <v>71219234</v>
      </c>
      <c r="D6" s="8">
        <v>0.0</v>
      </c>
      <c r="E6" s="8" t="s">
        <v>11</v>
      </c>
      <c r="F6" s="8">
        <v>5.1953207E7</v>
      </c>
      <c r="G6" s="8">
        <v>0.0</v>
      </c>
      <c r="H6" s="8">
        <v>0.0</v>
      </c>
      <c r="I6" s="9"/>
    </row>
    <row r="7" ht="22.5" customHeight="1">
      <c r="A7" s="15">
        <v>45870.0</v>
      </c>
      <c r="B7" s="16" t="s">
        <v>10</v>
      </c>
      <c r="C7" s="17">
        <v>1.1581211554E10</v>
      </c>
      <c r="D7" s="17">
        <f>9442026433+241712271</f>
        <v>9683738704</v>
      </c>
      <c r="E7" s="18" t="s">
        <v>11</v>
      </c>
      <c r="F7" s="18">
        <v>7.925461266E9</v>
      </c>
      <c r="G7" s="18">
        <v>8.029164731E9</v>
      </c>
      <c r="H7" s="18">
        <v>6.520622327E9</v>
      </c>
      <c r="I7" s="19"/>
    </row>
    <row r="8" ht="22.5" customHeight="1">
      <c r="A8" s="10"/>
      <c r="B8" s="16" t="s">
        <v>12</v>
      </c>
      <c r="C8" s="18">
        <v>3.13172605E8</v>
      </c>
      <c r="D8" s="18">
        <f>22817889+12928557</f>
        <v>35746446</v>
      </c>
      <c r="E8" s="18" t="s">
        <v>11</v>
      </c>
      <c r="F8" s="18">
        <f>306071186</f>
        <v>306071186</v>
      </c>
      <c r="G8" s="18">
        <v>2.09546412E8</v>
      </c>
      <c r="H8" s="18">
        <v>1.296805207E9</v>
      </c>
      <c r="I8" s="19"/>
    </row>
    <row r="9" ht="22.5" customHeight="1">
      <c r="A9" s="10"/>
      <c r="B9" s="16" t="s">
        <v>13</v>
      </c>
      <c r="C9" s="20">
        <v>0.027</v>
      </c>
      <c r="D9" s="20">
        <v>0.0037</v>
      </c>
      <c r="E9" s="18" t="s">
        <v>11</v>
      </c>
      <c r="F9" s="21">
        <v>0.0386</v>
      </c>
      <c r="G9" s="22">
        <v>0.0261</v>
      </c>
      <c r="H9" s="22">
        <v>0.1988</v>
      </c>
      <c r="I9" s="19"/>
    </row>
    <row r="10" ht="22.5" customHeight="1">
      <c r="A10" s="14"/>
      <c r="B10" s="16" t="s">
        <v>14</v>
      </c>
      <c r="C10" s="18">
        <v>0.0</v>
      </c>
      <c r="D10" s="18">
        <v>0.0</v>
      </c>
      <c r="E10" s="18" t="s">
        <v>11</v>
      </c>
      <c r="F10" s="18">
        <v>3.3940626E7</v>
      </c>
      <c r="G10" s="18">
        <v>9.4178588E7</v>
      </c>
      <c r="H10" s="18">
        <v>0.0</v>
      </c>
      <c r="I10" s="19"/>
    </row>
    <row r="11" ht="22.5" customHeight="1">
      <c r="A11" s="23">
        <v>45901.0</v>
      </c>
      <c r="B11" s="7" t="s">
        <v>10</v>
      </c>
      <c r="C11" s="24">
        <v>1.7868487517E10</v>
      </c>
      <c r="D11" s="24">
        <f>11516371063+237471990</f>
        <v>11753843053</v>
      </c>
      <c r="E11" s="25">
        <v>9.98971296E8</v>
      </c>
      <c r="F11" s="26">
        <v>9.256279623E9</v>
      </c>
      <c r="G11" s="25">
        <v>8.925764296E9</v>
      </c>
      <c r="H11" s="25">
        <v>6.721491827E9</v>
      </c>
      <c r="I11" s="27"/>
      <c r="K11" s="28"/>
    </row>
    <row r="12" ht="22.5" customHeight="1">
      <c r="A12" s="10"/>
      <c r="B12" s="7" t="s">
        <v>12</v>
      </c>
      <c r="C12" s="26">
        <v>2.35456642E8</v>
      </c>
      <c r="D12" s="26">
        <f>22725296+16755731</f>
        <v>39481027</v>
      </c>
      <c r="E12" s="26">
        <v>0.0</v>
      </c>
      <c r="F12" s="26">
        <f>267016938</f>
        <v>267016938</v>
      </c>
      <c r="G12" s="26">
        <v>2.54935885E8</v>
      </c>
      <c r="H12" s="26">
        <v>1.295909149E9</v>
      </c>
      <c r="I12" s="27"/>
      <c r="K12" s="28"/>
    </row>
    <row r="13" ht="22.5" customHeight="1">
      <c r="A13" s="10"/>
      <c r="B13" s="7" t="s">
        <v>13</v>
      </c>
      <c r="C13" s="29">
        <v>0.0132</v>
      </c>
      <c r="D13" s="29">
        <v>0.0036</v>
      </c>
      <c r="E13" s="30">
        <v>0.0</v>
      </c>
      <c r="F13" s="31">
        <v>0.0288</v>
      </c>
      <c r="G13" s="32">
        <v>0.0286</v>
      </c>
      <c r="H13" s="33">
        <v>0.1928</v>
      </c>
      <c r="I13" s="27"/>
      <c r="K13" s="28"/>
    </row>
    <row r="14" ht="22.5" customHeight="1">
      <c r="A14" s="14"/>
      <c r="B14" s="7" t="s">
        <v>14</v>
      </c>
      <c r="C14" s="26">
        <f>81472729</f>
        <v>81472729</v>
      </c>
      <c r="D14" s="26">
        <v>0.0</v>
      </c>
      <c r="E14" s="26">
        <v>0.0</v>
      </c>
      <c r="F14" s="26">
        <v>6.95064E7</v>
      </c>
      <c r="G14" s="26">
        <v>0.0</v>
      </c>
      <c r="H14" s="26">
        <v>0.0</v>
      </c>
      <c r="I14" s="27"/>
      <c r="K14" s="28"/>
    </row>
    <row r="15" ht="22.5" customHeight="1">
      <c r="A15" s="15">
        <v>45931.0</v>
      </c>
      <c r="B15" s="16" t="s">
        <v>10</v>
      </c>
      <c r="C15" s="18">
        <v>2.4673137543E10</v>
      </c>
      <c r="D15" s="18">
        <v>1.6445157548E10</v>
      </c>
      <c r="E15" s="34">
        <v>3.085688941E9</v>
      </c>
      <c r="F15" s="34">
        <v>1.1487267634E10</v>
      </c>
      <c r="G15" s="34">
        <v>1.0055954493E10</v>
      </c>
      <c r="H15" s="34">
        <v>6.863901714E9</v>
      </c>
      <c r="I15" s="19"/>
      <c r="K15" s="28"/>
    </row>
    <row r="16" ht="22.5" customHeight="1">
      <c r="A16" s="10"/>
      <c r="B16" s="16" t="s">
        <v>12</v>
      </c>
      <c r="C16" s="18">
        <v>2.79985509E8</v>
      </c>
      <c r="D16" s="18">
        <f>22632669+56633635</f>
        <v>79266304</v>
      </c>
      <c r="E16" s="18">
        <v>0.0</v>
      </c>
      <c r="F16" s="18">
        <f>306139405</f>
        <v>306139405</v>
      </c>
      <c r="G16" s="18">
        <v>3.28899043E8</v>
      </c>
      <c r="H16" s="18">
        <v>1.295013091E9</v>
      </c>
      <c r="I16" s="19"/>
      <c r="K16" s="28"/>
    </row>
    <row r="17" ht="22.5" customHeight="1">
      <c r="A17" s="10"/>
      <c r="B17" s="16" t="s">
        <v>13</v>
      </c>
      <c r="C17" s="22">
        <v>0.0113</v>
      </c>
      <c r="D17" s="22">
        <v>0.0048</v>
      </c>
      <c r="E17" s="22">
        <v>0.0</v>
      </c>
      <c r="F17" s="35">
        <v>0.0267</v>
      </c>
      <c r="G17" s="36">
        <v>0.0327</v>
      </c>
      <c r="H17" s="36">
        <v>0.1886</v>
      </c>
      <c r="I17" s="19"/>
      <c r="K17" s="28"/>
    </row>
    <row r="18" ht="22.5" customHeight="1">
      <c r="A18" s="14"/>
      <c r="B18" s="16" t="s">
        <v>14</v>
      </c>
      <c r="C18" s="18">
        <v>0.0</v>
      </c>
      <c r="D18" s="18">
        <v>0.0</v>
      </c>
      <c r="E18" s="18">
        <v>0.0</v>
      </c>
      <c r="F18" s="18">
        <v>5.1285889E7</v>
      </c>
      <c r="G18" s="18">
        <v>0.0</v>
      </c>
      <c r="H18" s="18">
        <v>0.0</v>
      </c>
      <c r="I18" s="19"/>
      <c r="K18" s="28"/>
    </row>
    <row r="19" ht="22.5" customHeight="1">
      <c r="A19" s="23">
        <v>45962.0</v>
      </c>
      <c r="B19" s="7" t="s">
        <v>10</v>
      </c>
      <c r="C19" s="24">
        <v>3.4775057291E10</v>
      </c>
      <c r="D19" s="24">
        <v>2.392569874E10</v>
      </c>
      <c r="E19" s="25">
        <v>7.493277912E9</v>
      </c>
      <c r="F19" s="25">
        <v>1.4346742328E10</v>
      </c>
      <c r="G19" s="25">
        <v>1.1744317506E10</v>
      </c>
      <c r="H19" s="25">
        <v>6.863901714E9</v>
      </c>
      <c r="I19" s="27"/>
    </row>
    <row r="20" ht="22.5" customHeight="1">
      <c r="A20" s="10"/>
      <c r="B20" s="7" t="s">
        <v>12</v>
      </c>
      <c r="C20" s="26">
        <v>2.44764367E8</v>
      </c>
      <c r="D20" s="26">
        <f>21779656+106954690</f>
        <v>128734346</v>
      </c>
      <c r="E20" s="26">
        <v>0.0</v>
      </c>
      <c r="F20" s="26">
        <f>282261185</f>
        <v>282261185</v>
      </c>
      <c r="G20" s="26">
        <v>2.98073401E8</v>
      </c>
      <c r="H20" s="26">
        <v>1.056498977E9</v>
      </c>
      <c r="I20" s="27"/>
    </row>
    <row r="21" ht="22.5" customHeight="1">
      <c r="A21" s="10"/>
      <c r="B21" s="7" t="s">
        <v>13</v>
      </c>
      <c r="C21" s="29">
        <v>0.007</v>
      </c>
      <c r="D21" s="29">
        <v>0.0054</v>
      </c>
      <c r="E21" s="32">
        <v>0.0</v>
      </c>
      <c r="F21" s="37">
        <v>0.0197</v>
      </c>
      <c r="G21" s="29">
        <v>0.0254</v>
      </c>
      <c r="H21" s="33">
        <v>0.1585</v>
      </c>
      <c r="I21" s="27"/>
    </row>
    <row r="22" ht="22.5" customHeight="1">
      <c r="A22" s="14"/>
      <c r="B22" s="7" t="s">
        <v>14</v>
      </c>
      <c r="C22" s="26">
        <v>0.0</v>
      </c>
      <c r="D22" s="26">
        <v>0.0</v>
      </c>
      <c r="E22" s="26">
        <v>0.0</v>
      </c>
      <c r="F22" s="26">
        <v>3.5507207E7</v>
      </c>
      <c r="G22" s="26">
        <v>5.3838688E7</v>
      </c>
      <c r="H22" s="26">
        <v>0.0</v>
      </c>
      <c r="I22" s="27"/>
    </row>
    <row r="23" ht="22.5" customHeight="1">
      <c r="A23" s="15">
        <v>45992.0</v>
      </c>
      <c r="B23" s="16" t="s">
        <v>10</v>
      </c>
      <c r="C23" s="18">
        <v>4.6881981609E10</v>
      </c>
      <c r="D23" s="18">
        <v>3.3084314251E10</v>
      </c>
      <c r="E23" s="18">
        <v>1.376832029E10</v>
      </c>
      <c r="F23" s="18">
        <v>1.6780646323E10</v>
      </c>
      <c r="G23" s="18">
        <v>1.2661593297E10</v>
      </c>
      <c r="H23" s="18">
        <v>6.566050814E9</v>
      </c>
      <c r="I23" s="19"/>
    </row>
    <row r="24" ht="22.5" customHeight="1">
      <c r="A24" s="10"/>
      <c r="B24" s="16" t="s">
        <v>12</v>
      </c>
      <c r="C24" s="38">
        <v>2.79033902E8</v>
      </c>
      <c r="D24" s="38">
        <f>21779656+199147448</f>
        <v>220927104</v>
      </c>
      <c r="E24" s="38" t="s">
        <v>11</v>
      </c>
      <c r="F24" s="38">
        <f>313507063</f>
        <v>313507063</v>
      </c>
      <c r="G24" s="38">
        <v>3.55778918E8</v>
      </c>
      <c r="H24" s="38">
        <v>1.038596478E9</v>
      </c>
      <c r="I24" s="39"/>
    </row>
    <row r="25" ht="22.5" customHeight="1">
      <c r="A25" s="10"/>
      <c r="B25" s="16" t="s">
        <v>13</v>
      </c>
      <c r="C25" s="40">
        <v>0.006</v>
      </c>
      <c r="D25" s="40">
        <v>0.0068</v>
      </c>
      <c r="E25" s="38" t="s">
        <v>11</v>
      </c>
      <c r="F25" s="41">
        <v>0.0187</v>
      </c>
      <c r="G25" s="40">
        <v>0.0281</v>
      </c>
      <c r="H25" s="40">
        <v>0.1581</v>
      </c>
      <c r="I25" s="39"/>
    </row>
    <row r="26" ht="22.5" customHeight="1">
      <c r="A26" s="14"/>
      <c r="B26" s="16" t="s">
        <v>14</v>
      </c>
      <c r="C26" s="18">
        <v>0.0</v>
      </c>
      <c r="D26" s="18">
        <v>0.0</v>
      </c>
      <c r="E26" s="18">
        <v>0.0</v>
      </c>
      <c r="F26" s="18">
        <v>4.16396E7</v>
      </c>
      <c r="G26" s="18">
        <v>0.0</v>
      </c>
      <c r="H26" s="18">
        <v>0.0</v>
      </c>
      <c r="I26" s="39"/>
    </row>
    <row r="27" ht="22.5" customHeight="1">
      <c r="A27" s="42">
        <v>46023.0</v>
      </c>
      <c r="B27" s="43" t="s">
        <v>10</v>
      </c>
      <c r="C27" s="44">
        <v>5.9391999635E10</v>
      </c>
      <c r="D27" s="44">
        <v>4.0851096269E10</v>
      </c>
      <c r="E27" s="44">
        <v>2.1148676479E10</v>
      </c>
      <c r="F27" s="44">
        <v>2.620039556E10</v>
      </c>
      <c r="G27" s="44">
        <v>1.3317365847E10</v>
      </c>
      <c r="H27" s="44">
        <v>6.522292464E9</v>
      </c>
      <c r="I27" s="45"/>
    </row>
    <row r="28" ht="22.5" customHeight="1">
      <c r="A28" s="10"/>
      <c r="B28" s="46" t="s">
        <v>12</v>
      </c>
      <c r="C28" s="24">
        <v>2.10009174E8</v>
      </c>
      <c r="D28" s="24">
        <v>3.41760044E8</v>
      </c>
      <c r="E28" s="47" t="s">
        <v>11</v>
      </c>
      <c r="F28" s="24">
        <f>381887623</f>
        <v>381887623</v>
      </c>
      <c r="G28" s="24">
        <v>3.39019386E8</v>
      </c>
      <c r="H28" s="24">
        <v>1.03770042E9</v>
      </c>
      <c r="I28" s="48"/>
    </row>
    <row r="29" ht="22.5" customHeight="1">
      <c r="A29" s="10"/>
      <c r="B29" s="46" t="s">
        <v>13</v>
      </c>
      <c r="C29" s="29">
        <v>0.0035</v>
      </c>
      <c r="D29" s="29">
        <v>0.0084</v>
      </c>
      <c r="E29" s="47" t="s">
        <v>11</v>
      </c>
      <c r="F29" s="37">
        <v>0.019</v>
      </c>
      <c r="G29" s="29">
        <v>0.0255</v>
      </c>
      <c r="H29" s="29">
        <v>0.1591</v>
      </c>
      <c r="I29" s="48"/>
    </row>
    <row r="30" ht="22.5" customHeight="1">
      <c r="A30" s="14"/>
      <c r="B30" s="46" t="s">
        <v>15</v>
      </c>
      <c r="C30" s="24">
        <f>707347385+77431038+34996350</f>
        <v>819774773</v>
      </c>
      <c r="D30" s="24">
        <v>3.7152929E7</v>
      </c>
      <c r="E30" s="49" t="s">
        <v>11</v>
      </c>
      <c r="F30" s="24">
        <v>2.7715073E7</v>
      </c>
      <c r="G30" s="24">
        <v>8.1848215E7</v>
      </c>
      <c r="H30" s="47">
        <v>0.0</v>
      </c>
      <c r="I30" s="48"/>
    </row>
    <row r="31" ht="22.5" customHeight="1">
      <c r="A31" s="15">
        <v>46054.0</v>
      </c>
      <c r="B31" s="16" t="s">
        <v>10</v>
      </c>
      <c r="C31" s="18">
        <v>7.3584720549E10</v>
      </c>
      <c r="D31" s="18">
        <v>5.0334969745E10</v>
      </c>
      <c r="E31" s="18">
        <v>2.620039556E10</v>
      </c>
      <c r="F31" s="18">
        <v>2.237517314E10</v>
      </c>
      <c r="G31" s="18">
        <v>1.4307042675E10</v>
      </c>
      <c r="H31" s="18">
        <v>6.302753775E9</v>
      </c>
      <c r="I31" s="19"/>
    </row>
    <row r="32" ht="22.5" customHeight="1">
      <c r="A32" s="10"/>
      <c r="B32" s="16" t="s">
        <v>12</v>
      </c>
      <c r="C32" s="18">
        <v>2.62806814E8</v>
      </c>
      <c r="D32" s="18">
        <v>5.32751234E8</v>
      </c>
      <c r="E32" s="18">
        <v>7.2822842E7</v>
      </c>
      <c r="F32" s="18">
        <f>465584628</f>
        <v>465584628</v>
      </c>
      <c r="G32" s="18">
        <v>5.35283195E8</v>
      </c>
      <c r="H32" s="18">
        <v>1.036804362E9</v>
      </c>
      <c r="I32" s="19"/>
    </row>
    <row r="33" ht="22.5" customHeight="1">
      <c r="A33" s="10"/>
      <c r="B33" s="16" t="s">
        <v>13</v>
      </c>
      <c r="C33" s="22">
        <v>0.0036</v>
      </c>
      <c r="D33" s="22">
        <v>0.0106</v>
      </c>
      <c r="E33" s="22">
        <v>0.0028</v>
      </c>
      <c r="F33" s="21">
        <v>0.0208</v>
      </c>
      <c r="G33" s="22">
        <v>0.0374</v>
      </c>
      <c r="H33" s="22">
        <v>0.1645</v>
      </c>
      <c r="I33" s="19"/>
    </row>
    <row r="34" ht="22.5" customHeight="1">
      <c r="A34" s="14"/>
      <c r="B34" s="16" t="s">
        <v>14</v>
      </c>
      <c r="C34" s="50">
        <v>0.0</v>
      </c>
      <c r="D34" s="50">
        <v>0.0</v>
      </c>
      <c r="E34" s="51" t="s">
        <v>11</v>
      </c>
      <c r="F34" s="18">
        <v>4.7246883E7</v>
      </c>
      <c r="G34" s="50">
        <v>0.0</v>
      </c>
      <c r="H34" s="50">
        <v>0.0</v>
      </c>
      <c r="I34" s="52"/>
    </row>
    <row r="35" ht="22.5" customHeight="1">
      <c r="A35" s="53">
        <v>46082.0</v>
      </c>
      <c r="B35" s="46" t="s">
        <v>10</v>
      </c>
      <c r="C35" s="24">
        <v>1.01013336143E11</v>
      </c>
      <c r="D35" s="24">
        <v>6.20382399E10</v>
      </c>
      <c r="E35" s="24">
        <v>3.3791790471E10</v>
      </c>
      <c r="F35" s="24">
        <v>2.6314150809E10</v>
      </c>
      <c r="G35" s="24">
        <v>1.4476033687E10</v>
      </c>
      <c r="H35" s="24">
        <v>6.279833145E9</v>
      </c>
      <c r="I35" s="48"/>
    </row>
    <row r="36" ht="22.5" customHeight="1">
      <c r="A36" s="10"/>
      <c r="B36" s="46" t="s">
        <v>12</v>
      </c>
      <c r="C36" s="24">
        <v>3.20975296E8</v>
      </c>
      <c r="D36" s="24">
        <v>7.28660533E8</v>
      </c>
      <c r="E36" s="24">
        <v>9.544751E7</v>
      </c>
      <c r="F36" s="24">
        <v>4.79739063E8</v>
      </c>
      <c r="G36" s="24">
        <v>4.05021667E8</v>
      </c>
      <c r="H36" s="24">
        <v>1.035908304E9</v>
      </c>
      <c r="I36" s="48"/>
    </row>
    <row r="37" ht="22.5" customHeight="1">
      <c r="A37" s="10"/>
      <c r="B37" s="46" t="s">
        <v>13</v>
      </c>
      <c r="C37" s="29">
        <v>0.0032</v>
      </c>
      <c r="D37" s="29">
        <v>0.0117</v>
      </c>
      <c r="E37" s="29">
        <v>0.0028</v>
      </c>
      <c r="F37" s="37">
        <v>0.0182</v>
      </c>
      <c r="G37" s="29">
        <v>0.028</v>
      </c>
      <c r="H37" s="29">
        <v>0.1649</v>
      </c>
      <c r="I37" s="48"/>
    </row>
    <row r="38" ht="22.5" customHeight="1">
      <c r="A38" s="14"/>
      <c r="B38" s="46" t="s">
        <v>14</v>
      </c>
      <c r="C38" s="24">
        <f>19791670+410184008</f>
        <v>429975678</v>
      </c>
      <c r="D38" s="24">
        <v>8.3086004E7</v>
      </c>
      <c r="E38" s="49" t="s">
        <v>11</v>
      </c>
      <c r="F38" s="24">
        <f>9995200+76058549</f>
        <v>86053749</v>
      </c>
      <c r="G38" s="24">
        <v>1.22509701E8</v>
      </c>
      <c r="H38" s="47">
        <v>0.0</v>
      </c>
      <c r="I38" s="54"/>
    </row>
    <row r="39" ht="22.5" customHeight="1">
      <c r="A39" s="15">
        <v>46113.0</v>
      </c>
      <c r="B39" s="16" t="s">
        <v>10</v>
      </c>
      <c r="C39" s="18">
        <v>1.32789981137E11</v>
      </c>
      <c r="D39" s="18">
        <v>7.0728499882E10</v>
      </c>
      <c r="E39" s="18">
        <v>4.2498922587E10</v>
      </c>
      <c r="F39" s="18">
        <v>3.0615633097E10</v>
      </c>
      <c r="G39" s="18">
        <v>1.5465762522E10</v>
      </c>
      <c r="H39" s="18">
        <v>5.956701527E9</v>
      </c>
      <c r="I39" s="19"/>
    </row>
    <row r="40" ht="22.5" customHeight="1">
      <c r="A40" s="10"/>
      <c r="B40" s="16" t="s">
        <v>12</v>
      </c>
      <c r="C40" s="18">
        <v>4.67770913E8</v>
      </c>
      <c r="D40" s="18">
        <v>9.62115551E8</v>
      </c>
      <c r="E40" s="18">
        <v>4.60883408E8</v>
      </c>
      <c r="F40" s="18">
        <v>4.56233573E8</v>
      </c>
      <c r="G40" s="18">
        <f>350603967</f>
        <v>350603967</v>
      </c>
      <c r="H40" s="18">
        <v>1.14452994E9</v>
      </c>
      <c r="I40" s="19"/>
    </row>
    <row r="41" ht="22.5" customHeight="1">
      <c r="A41" s="10"/>
      <c r="B41" s="16" t="s">
        <v>13</v>
      </c>
      <c r="C41" s="22">
        <v>0.0035</v>
      </c>
      <c r="D41" s="22">
        <v>0.0133</v>
      </c>
      <c r="E41" s="22">
        <v>0.0108</v>
      </c>
      <c r="F41" s="21">
        <v>0.0149</v>
      </c>
      <c r="G41" s="22">
        <v>0.0227</v>
      </c>
      <c r="H41" s="22">
        <v>0.1921</v>
      </c>
      <c r="I41" s="19"/>
    </row>
    <row r="42" ht="22.5" customHeight="1">
      <c r="A42" s="14"/>
      <c r="B42" s="16" t="s">
        <v>14</v>
      </c>
      <c r="C42" s="18">
        <v>0.0</v>
      </c>
      <c r="D42" s="18">
        <v>2.60158203E8</v>
      </c>
      <c r="E42" s="18">
        <v>0.0</v>
      </c>
      <c r="F42" s="18">
        <v>1.453578E8</v>
      </c>
      <c r="G42" s="18">
        <v>1.81469461E8</v>
      </c>
      <c r="H42" s="18">
        <v>0.0</v>
      </c>
      <c r="I42" s="52"/>
    </row>
    <row r="43" ht="22.5" customHeight="1">
      <c r="A43" s="53">
        <v>46143.0</v>
      </c>
      <c r="B43" s="46" t="s">
        <v>10</v>
      </c>
      <c r="C43" s="24">
        <v>1.70856609317E11</v>
      </c>
      <c r="D43" s="24">
        <v>8.2838484939E10</v>
      </c>
      <c r="E43" s="24">
        <v>5.04194955E10</v>
      </c>
      <c r="F43" s="24">
        <v>3.4398454329E10</v>
      </c>
      <c r="G43" s="24">
        <v>1.6529353684E10</v>
      </c>
      <c r="H43" s="24">
        <v>5.876105877E9</v>
      </c>
      <c r="I43" s="48"/>
    </row>
    <row r="44" ht="22.5" customHeight="1">
      <c r="A44" s="10"/>
      <c r="B44" s="46" t="s">
        <v>12</v>
      </c>
      <c r="C44" s="24">
        <v>7.47668544E8</v>
      </c>
      <c r="D44" s="24"/>
      <c r="E44" s="24">
        <v>5.00945434E8</v>
      </c>
      <c r="F44" s="24">
        <v>6.22222278E8</v>
      </c>
      <c r="G44" s="24">
        <f>389961912</f>
        <v>389961912</v>
      </c>
      <c r="H44" s="24">
        <v>1.211633882E9</v>
      </c>
      <c r="I44" s="48"/>
    </row>
    <row r="45" ht="22.5" customHeight="1">
      <c r="A45" s="10"/>
      <c r="B45" s="46" t="s">
        <v>13</v>
      </c>
      <c r="C45" s="29">
        <v>0.0044</v>
      </c>
      <c r="D45" s="47"/>
      <c r="E45" s="29">
        <v>0.0099</v>
      </c>
      <c r="F45" s="37">
        <v>0.0181</v>
      </c>
      <c r="G45" s="29">
        <v>0.0236</v>
      </c>
      <c r="H45" s="29">
        <v>0.2061</v>
      </c>
      <c r="I45" s="48"/>
    </row>
    <row r="46" ht="22.5" customHeight="1">
      <c r="A46" s="14"/>
      <c r="B46" s="46" t="s">
        <v>14</v>
      </c>
      <c r="C46" s="47">
        <v>0.0</v>
      </c>
      <c r="D46" s="24">
        <v>5.1408034E7</v>
      </c>
      <c r="E46" s="24">
        <v>9.544761E7</v>
      </c>
      <c r="F46" s="24">
        <v>1.23677834E8</v>
      </c>
      <c r="G46" s="24">
        <v>0.0</v>
      </c>
      <c r="H46" s="24">
        <v>0.0</v>
      </c>
      <c r="I46" s="48"/>
    </row>
    <row r="47" ht="22.5" customHeight="1">
      <c r="A47" s="48"/>
      <c r="B47" s="46"/>
      <c r="C47" s="47"/>
      <c r="D47" s="47"/>
      <c r="E47" s="47"/>
      <c r="F47" s="47"/>
      <c r="G47" s="47"/>
      <c r="H47" s="47"/>
      <c r="I47" s="48"/>
    </row>
    <row r="48" ht="22.5" customHeight="1">
      <c r="A48" s="48"/>
      <c r="B48" s="46"/>
      <c r="C48" s="47"/>
      <c r="D48" s="47"/>
      <c r="E48" s="47"/>
      <c r="F48" s="47"/>
      <c r="G48" s="47"/>
      <c r="H48" s="47"/>
      <c r="I48" s="48"/>
    </row>
    <row r="49" ht="22.5" customHeight="1">
      <c r="A49" s="48"/>
      <c r="B49" s="46"/>
      <c r="C49" s="47"/>
      <c r="D49" s="47"/>
      <c r="E49" s="47"/>
      <c r="F49" s="47"/>
      <c r="G49" s="47"/>
      <c r="H49" s="47"/>
      <c r="I49" s="48"/>
    </row>
    <row r="50" ht="22.5" customHeight="1">
      <c r="A50" s="48"/>
      <c r="B50" s="46"/>
      <c r="C50" s="47"/>
      <c r="D50" s="47"/>
      <c r="E50" s="47"/>
      <c r="F50" s="47"/>
      <c r="G50" s="47"/>
      <c r="H50" s="47"/>
      <c r="I50" s="48"/>
    </row>
    <row r="51" ht="22.5" customHeight="1">
      <c r="A51" s="48"/>
      <c r="B51" s="46"/>
      <c r="C51" s="47"/>
      <c r="D51" s="47"/>
      <c r="E51" s="47"/>
      <c r="F51" s="47"/>
      <c r="G51" s="47"/>
      <c r="H51" s="47"/>
      <c r="I51" s="48"/>
    </row>
    <row r="52" ht="22.5" customHeight="1">
      <c r="A52" s="48"/>
      <c r="B52" s="46"/>
      <c r="C52" s="47"/>
      <c r="D52" s="47"/>
      <c r="E52" s="47"/>
      <c r="F52" s="47"/>
      <c r="G52" s="47"/>
      <c r="H52" s="47"/>
      <c r="I52" s="48"/>
    </row>
    <row r="53" ht="22.5" customHeight="1">
      <c r="A53" s="48"/>
      <c r="B53" s="46"/>
      <c r="C53" s="47"/>
      <c r="D53" s="47"/>
      <c r="E53" s="47"/>
      <c r="F53" s="47"/>
      <c r="G53" s="47"/>
      <c r="H53" s="47"/>
      <c r="I53" s="48"/>
    </row>
    <row r="54" ht="22.5" customHeight="1">
      <c r="A54" s="48"/>
      <c r="B54" s="46"/>
      <c r="C54" s="47"/>
      <c r="D54" s="47"/>
      <c r="E54" s="47"/>
      <c r="F54" s="47"/>
      <c r="G54" s="47"/>
      <c r="H54" s="47"/>
      <c r="I54" s="48"/>
    </row>
    <row r="55" ht="22.5" customHeight="1">
      <c r="A55" s="48"/>
      <c r="B55" s="46"/>
      <c r="C55" s="47"/>
      <c r="D55" s="47"/>
      <c r="E55" s="47"/>
      <c r="F55" s="47"/>
      <c r="G55" s="47"/>
      <c r="H55" s="47"/>
      <c r="I55" s="48"/>
    </row>
    <row r="56" ht="22.5" customHeight="1">
      <c r="A56" s="48"/>
      <c r="B56" s="46"/>
      <c r="C56" s="47"/>
      <c r="D56" s="47"/>
      <c r="E56" s="47"/>
      <c r="F56" s="47"/>
      <c r="G56" s="47"/>
      <c r="H56" s="47"/>
      <c r="I56" s="48"/>
    </row>
    <row r="57" ht="22.5" customHeight="1">
      <c r="A57" s="48"/>
      <c r="B57" s="46"/>
      <c r="C57" s="47"/>
      <c r="D57" s="47"/>
      <c r="E57" s="47"/>
      <c r="F57" s="47"/>
      <c r="G57" s="47"/>
      <c r="H57" s="47"/>
      <c r="I57" s="48"/>
    </row>
    <row r="58" ht="22.5" customHeight="1">
      <c r="A58" s="48"/>
      <c r="B58" s="46"/>
      <c r="C58" s="47"/>
      <c r="D58" s="47"/>
      <c r="E58" s="47"/>
      <c r="F58" s="47"/>
      <c r="G58" s="47"/>
      <c r="H58" s="47"/>
      <c r="I58" s="48"/>
    </row>
    <row r="59" ht="22.5" customHeight="1">
      <c r="A59" s="48"/>
      <c r="B59" s="46"/>
      <c r="C59" s="47"/>
      <c r="D59" s="47"/>
      <c r="E59" s="47"/>
      <c r="F59" s="47"/>
      <c r="G59" s="47"/>
      <c r="H59" s="47"/>
      <c r="I59" s="48"/>
    </row>
    <row r="60" ht="22.5" customHeight="1">
      <c r="A60" s="48"/>
      <c r="B60" s="46"/>
      <c r="C60" s="47"/>
      <c r="D60" s="47"/>
      <c r="E60" s="47"/>
      <c r="F60" s="47"/>
      <c r="G60" s="47"/>
      <c r="H60" s="47"/>
      <c r="I60" s="48"/>
    </row>
    <row r="61" ht="22.5" customHeight="1">
      <c r="A61" s="48"/>
      <c r="B61" s="46"/>
      <c r="C61" s="47"/>
      <c r="D61" s="47"/>
      <c r="E61" s="47"/>
      <c r="F61" s="47"/>
      <c r="G61" s="47"/>
      <c r="H61" s="47"/>
      <c r="I61" s="48"/>
    </row>
    <row r="62" ht="22.5" customHeight="1">
      <c r="A62" s="48"/>
      <c r="B62" s="46"/>
      <c r="C62" s="47"/>
      <c r="D62" s="47"/>
      <c r="E62" s="47"/>
      <c r="F62" s="47"/>
      <c r="G62" s="47"/>
      <c r="H62" s="47"/>
      <c r="I62" s="48"/>
    </row>
    <row r="63" ht="22.5" customHeight="1">
      <c r="A63" s="48"/>
      <c r="B63" s="46"/>
      <c r="C63" s="47"/>
      <c r="D63" s="47"/>
      <c r="E63" s="47"/>
      <c r="F63" s="47"/>
      <c r="G63" s="47"/>
      <c r="H63" s="47"/>
      <c r="I63" s="48"/>
    </row>
    <row r="64" ht="22.5" customHeight="1">
      <c r="A64" s="48"/>
      <c r="B64" s="46"/>
      <c r="C64" s="47"/>
      <c r="D64" s="47"/>
      <c r="E64" s="47"/>
      <c r="F64" s="47"/>
      <c r="G64" s="47"/>
      <c r="H64" s="47"/>
      <c r="I64" s="48"/>
    </row>
    <row r="65" ht="22.5" customHeight="1">
      <c r="A65" s="48"/>
      <c r="B65" s="46"/>
      <c r="C65" s="47"/>
      <c r="D65" s="47"/>
      <c r="E65" s="47"/>
      <c r="F65" s="47"/>
      <c r="G65" s="47"/>
      <c r="H65" s="47"/>
      <c r="I65" s="48"/>
    </row>
    <row r="66" ht="22.5" customHeight="1">
      <c r="A66" s="48"/>
      <c r="B66" s="46"/>
      <c r="C66" s="47"/>
      <c r="D66" s="47"/>
      <c r="E66" s="47"/>
      <c r="F66" s="47"/>
      <c r="G66" s="47"/>
      <c r="H66" s="47"/>
      <c r="I66" s="48"/>
    </row>
    <row r="67" ht="22.5" customHeight="1">
      <c r="A67" s="48"/>
      <c r="B67" s="46"/>
      <c r="C67" s="47"/>
      <c r="D67" s="47"/>
      <c r="E67" s="47"/>
      <c r="F67" s="47"/>
      <c r="G67" s="47"/>
      <c r="H67" s="47"/>
      <c r="I67" s="48"/>
    </row>
    <row r="68" ht="22.5" customHeight="1">
      <c r="A68" s="48"/>
      <c r="B68" s="46"/>
      <c r="C68" s="47"/>
      <c r="D68" s="47"/>
      <c r="E68" s="47"/>
      <c r="F68" s="47"/>
      <c r="G68" s="47"/>
      <c r="H68" s="47"/>
      <c r="I68" s="48"/>
    </row>
    <row r="69" ht="22.5" customHeight="1">
      <c r="A69" s="48"/>
      <c r="B69" s="46"/>
      <c r="C69" s="47"/>
      <c r="D69" s="47"/>
      <c r="E69" s="47"/>
      <c r="F69" s="47"/>
      <c r="G69" s="47"/>
      <c r="H69" s="47"/>
      <c r="I69" s="48"/>
    </row>
    <row r="70" ht="22.5" customHeight="1">
      <c r="A70" s="48"/>
      <c r="B70" s="46"/>
      <c r="C70" s="47"/>
      <c r="D70" s="47"/>
      <c r="E70" s="47"/>
      <c r="F70" s="47"/>
      <c r="G70" s="47"/>
      <c r="H70" s="47"/>
      <c r="I70" s="48"/>
    </row>
    <row r="71" ht="22.5" customHeight="1">
      <c r="A71" s="48"/>
      <c r="B71" s="46"/>
      <c r="C71" s="47"/>
      <c r="D71" s="47"/>
      <c r="E71" s="47"/>
      <c r="F71" s="47"/>
      <c r="G71" s="47"/>
      <c r="H71" s="47"/>
      <c r="I71" s="48"/>
    </row>
    <row r="72" ht="22.5" customHeight="1">
      <c r="A72" s="48"/>
      <c r="B72" s="46"/>
      <c r="C72" s="47"/>
      <c r="D72" s="47"/>
      <c r="E72" s="47"/>
      <c r="F72" s="47"/>
      <c r="G72" s="47"/>
      <c r="H72" s="47"/>
      <c r="I72" s="48"/>
    </row>
    <row r="73" ht="15.75" customHeight="1">
      <c r="B73" s="55"/>
      <c r="C73" s="56"/>
      <c r="D73" s="56"/>
      <c r="E73" s="56"/>
      <c r="F73" s="56"/>
      <c r="G73" s="56"/>
      <c r="H73" s="56"/>
    </row>
    <row r="74" ht="15.75" customHeight="1">
      <c r="B74" s="55"/>
      <c r="C74" s="56"/>
      <c r="D74" s="56"/>
      <c r="E74" s="56"/>
      <c r="F74" s="56"/>
      <c r="G74" s="56"/>
      <c r="H74" s="56"/>
    </row>
    <row r="75" ht="15.75" customHeight="1">
      <c r="B75" s="55"/>
      <c r="C75" s="56"/>
      <c r="D75" s="56"/>
      <c r="E75" s="56"/>
      <c r="F75" s="56"/>
      <c r="G75" s="56"/>
      <c r="H75" s="56"/>
    </row>
    <row r="76" ht="15.75" customHeight="1">
      <c r="B76" s="55"/>
      <c r="C76" s="56"/>
      <c r="D76" s="56"/>
      <c r="E76" s="56"/>
      <c r="F76" s="56"/>
      <c r="G76" s="56"/>
      <c r="H76" s="56"/>
    </row>
    <row r="77" ht="15.75" customHeight="1">
      <c r="B77" s="55"/>
      <c r="C77" s="56"/>
      <c r="D77" s="56"/>
      <c r="E77" s="56"/>
      <c r="F77" s="56"/>
      <c r="G77" s="56"/>
      <c r="H77" s="56"/>
    </row>
    <row r="78" ht="15.75" customHeight="1">
      <c r="B78" s="55"/>
      <c r="C78" s="56"/>
      <c r="D78" s="56"/>
      <c r="E78" s="56"/>
      <c r="F78" s="56"/>
      <c r="G78" s="56"/>
      <c r="H78" s="56"/>
    </row>
    <row r="79" ht="15.75" customHeight="1">
      <c r="B79" s="55"/>
      <c r="C79" s="56"/>
      <c r="D79" s="56"/>
      <c r="E79" s="56"/>
      <c r="F79" s="56"/>
      <c r="G79" s="56"/>
      <c r="H79" s="56"/>
    </row>
    <row r="80" ht="15.75" customHeight="1">
      <c r="B80" s="55"/>
      <c r="C80" s="56"/>
      <c r="D80" s="56"/>
      <c r="E80" s="56"/>
      <c r="F80" s="56"/>
      <c r="G80" s="56"/>
      <c r="H80" s="56"/>
    </row>
    <row r="81" ht="15.75" customHeight="1">
      <c r="B81" s="55"/>
      <c r="C81" s="56"/>
      <c r="D81" s="56"/>
      <c r="E81" s="56"/>
      <c r="F81" s="56"/>
      <c r="G81" s="56"/>
      <c r="H81" s="56"/>
    </row>
    <row r="82" ht="15.75" customHeight="1">
      <c r="B82" s="55"/>
      <c r="C82" s="56"/>
      <c r="D82" s="56"/>
      <c r="E82" s="56"/>
      <c r="F82" s="56"/>
      <c r="G82" s="56"/>
      <c r="H82" s="56"/>
    </row>
    <row r="83" ht="15.75" customHeight="1">
      <c r="B83" s="55"/>
      <c r="C83" s="56"/>
      <c r="D83" s="56"/>
      <c r="E83" s="56"/>
      <c r="F83" s="56"/>
      <c r="G83" s="56"/>
      <c r="H83" s="56"/>
    </row>
    <row r="84" ht="15.75" customHeight="1">
      <c r="B84" s="55"/>
      <c r="C84" s="56"/>
      <c r="D84" s="56"/>
      <c r="E84" s="56"/>
      <c r="F84" s="56"/>
      <c r="G84" s="56"/>
      <c r="H84" s="56"/>
    </row>
    <row r="85" ht="15.75" customHeight="1">
      <c r="B85" s="55"/>
      <c r="C85" s="56"/>
      <c r="D85" s="56"/>
      <c r="E85" s="56"/>
      <c r="F85" s="56"/>
      <c r="G85" s="56"/>
      <c r="H85" s="56"/>
    </row>
    <row r="86" ht="15.75" customHeight="1">
      <c r="B86" s="55"/>
      <c r="C86" s="56"/>
      <c r="D86" s="56"/>
      <c r="E86" s="56"/>
      <c r="F86" s="56"/>
      <c r="G86" s="56"/>
      <c r="H86" s="56"/>
    </row>
    <row r="87" ht="15.75" customHeight="1">
      <c r="B87" s="55"/>
      <c r="C87" s="56"/>
      <c r="D87" s="56"/>
      <c r="E87" s="56"/>
      <c r="F87" s="56"/>
      <c r="G87" s="56"/>
      <c r="H87" s="56"/>
    </row>
    <row r="88" ht="15.75" customHeight="1">
      <c r="B88" s="55"/>
      <c r="C88" s="56"/>
      <c r="D88" s="56"/>
      <c r="E88" s="56"/>
      <c r="F88" s="56"/>
      <c r="G88" s="56"/>
      <c r="H88" s="56"/>
    </row>
    <row r="89" ht="15.75" customHeight="1">
      <c r="B89" s="55"/>
      <c r="C89" s="56"/>
      <c r="D89" s="56"/>
      <c r="E89" s="56"/>
      <c r="F89" s="56"/>
      <c r="G89" s="56"/>
      <c r="H89" s="56"/>
    </row>
    <row r="90" ht="15.75" customHeight="1">
      <c r="B90" s="55"/>
      <c r="C90" s="56"/>
      <c r="D90" s="56"/>
      <c r="E90" s="56"/>
      <c r="F90" s="56"/>
      <c r="G90" s="56"/>
      <c r="H90" s="56"/>
    </row>
    <row r="91" ht="15.75" customHeight="1">
      <c r="B91" s="55"/>
      <c r="C91" s="56"/>
      <c r="D91" s="56"/>
      <c r="E91" s="56"/>
      <c r="F91" s="56"/>
      <c r="G91" s="56"/>
      <c r="H91" s="56"/>
    </row>
    <row r="92" ht="15.75" customHeight="1">
      <c r="B92" s="55"/>
      <c r="C92" s="56"/>
      <c r="D92" s="56"/>
      <c r="E92" s="56"/>
      <c r="F92" s="56"/>
      <c r="G92" s="56"/>
      <c r="H92" s="56"/>
    </row>
    <row r="93" ht="15.75" customHeight="1">
      <c r="B93" s="55"/>
      <c r="C93" s="56"/>
      <c r="D93" s="56"/>
      <c r="E93" s="56"/>
      <c r="F93" s="56"/>
      <c r="G93" s="56"/>
      <c r="H93" s="56"/>
    </row>
    <row r="94" ht="15.75" customHeight="1">
      <c r="B94" s="55"/>
      <c r="C94" s="56"/>
      <c r="D94" s="56"/>
      <c r="E94" s="56"/>
      <c r="F94" s="56"/>
      <c r="G94" s="56"/>
      <c r="H94" s="56"/>
    </row>
    <row r="95" ht="15.75" customHeight="1">
      <c r="B95" s="55"/>
      <c r="C95" s="56"/>
      <c r="D95" s="56"/>
      <c r="E95" s="56"/>
      <c r="F95" s="56"/>
      <c r="G95" s="56"/>
      <c r="H95" s="56"/>
    </row>
    <row r="96" ht="15.75" customHeight="1">
      <c r="B96" s="55"/>
      <c r="C96" s="56"/>
      <c r="D96" s="56"/>
      <c r="E96" s="56"/>
      <c r="F96" s="56"/>
      <c r="G96" s="56"/>
      <c r="H96" s="56"/>
    </row>
    <row r="97" ht="15.75" customHeight="1">
      <c r="B97" s="55"/>
      <c r="C97" s="56"/>
      <c r="D97" s="56"/>
      <c r="E97" s="56"/>
      <c r="F97" s="56"/>
      <c r="G97" s="56"/>
      <c r="H97" s="56"/>
    </row>
    <row r="98" ht="15.75" customHeight="1">
      <c r="B98" s="55"/>
      <c r="C98" s="56"/>
      <c r="D98" s="56"/>
      <c r="E98" s="56"/>
      <c r="F98" s="56"/>
      <c r="G98" s="56"/>
      <c r="H98" s="56"/>
    </row>
    <row r="99" ht="15.75" customHeight="1">
      <c r="B99" s="55"/>
      <c r="C99" s="56"/>
      <c r="D99" s="56"/>
      <c r="E99" s="56"/>
      <c r="F99" s="56"/>
      <c r="G99" s="56"/>
      <c r="H99" s="56"/>
    </row>
    <row r="100" ht="15.75" customHeight="1">
      <c r="B100" s="55"/>
      <c r="C100" s="56"/>
      <c r="D100" s="56"/>
      <c r="E100" s="56"/>
      <c r="F100" s="56"/>
      <c r="G100" s="56"/>
      <c r="H100" s="56"/>
    </row>
    <row r="101" ht="15.75" customHeight="1">
      <c r="B101" s="55"/>
      <c r="C101" s="56"/>
      <c r="D101" s="56"/>
      <c r="E101" s="56"/>
      <c r="F101" s="56"/>
      <c r="G101" s="56"/>
      <c r="H101" s="56"/>
    </row>
    <row r="102" ht="15.75" customHeight="1">
      <c r="B102" s="55"/>
      <c r="C102" s="56"/>
      <c r="D102" s="56"/>
      <c r="E102" s="56"/>
      <c r="F102" s="56"/>
      <c r="G102" s="56"/>
      <c r="H102" s="56"/>
    </row>
    <row r="103" ht="15.75" customHeight="1">
      <c r="B103" s="55"/>
      <c r="C103" s="56"/>
      <c r="D103" s="56"/>
      <c r="E103" s="56"/>
      <c r="F103" s="56"/>
      <c r="G103" s="56"/>
      <c r="H103" s="56"/>
    </row>
    <row r="104" ht="15.75" customHeight="1">
      <c r="B104" s="55"/>
      <c r="C104" s="56"/>
      <c r="D104" s="56"/>
      <c r="E104" s="56"/>
      <c r="F104" s="56"/>
      <c r="G104" s="56"/>
      <c r="H104" s="56"/>
    </row>
    <row r="105" ht="15.75" customHeight="1">
      <c r="B105" s="55"/>
      <c r="C105" s="56"/>
      <c r="D105" s="56"/>
      <c r="E105" s="56"/>
      <c r="F105" s="56"/>
      <c r="G105" s="56"/>
      <c r="H105" s="56"/>
    </row>
    <row r="106" ht="15.75" customHeight="1">
      <c r="B106" s="55"/>
      <c r="C106" s="56"/>
      <c r="D106" s="56"/>
      <c r="E106" s="56"/>
      <c r="F106" s="56"/>
      <c r="G106" s="56"/>
      <c r="H106" s="56"/>
    </row>
    <row r="107" ht="15.75" customHeight="1">
      <c r="B107" s="55"/>
      <c r="C107" s="56"/>
      <c r="D107" s="56"/>
      <c r="E107" s="56"/>
      <c r="F107" s="56"/>
      <c r="G107" s="56"/>
      <c r="H107" s="56"/>
    </row>
    <row r="108" ht="15.75" customHeight="1">
      <c r="B108" s="55"/>
      <c r="C108" s="56"/>
      <c r="D108" s="56"/>
      <c r="E108" s="56"/>
      <c r="F108" s="56"/>
      <c r="G108" s="56"/>
      <c r="H108" s="56"/>
    </row>
    <row r="109" ht="15.75" customHeight="1">
      <c r="B109" s="55"/>
      <c r="C109" s="56"/>
      <c r="D109" s="56"/>
      <c r="E109" s="56"/>
      <c r="F109" s="56"/>
      <c r="G109" s="56"/>
      <c r="H109" s="56"/>
    </row>
    <row r="110" ht="15.75" customHeight="1">
      <c r="B110" s="55"/>
      <c r="C110" s="56"/>
      <c r="D110" s="56"/>
      <c r="E110" s="56"/>
      <c r="F110" s="56"/>
      <c r="G110" s="56"/>
      <c r="H110" s="56"/>
    </row>
    <row r="111" ht="15.75" customHeight="1">
      <c r="B111" s="55"/>
      <c r="C111" s="56"/>
      <c r="D111" s="56"/>
      <c r="E111" s="56"/>
      <c r="F111" s="56"/>
      <c r="G111" s="56"/>
      <c r="H111" s="56"/>
    </row>
    <row r="112" ht="15.75" customHeight="1">
      <c r="B112" s="55"/>
      <c r="C112" s="56"/>
      <c r="D112" s="56"/>
      <c r="E112" s="56"/>
      <c r="F112" s="56"/>
      <c r="G112" s="56"/>
      <c r="H112" s="56"/>
    </row>
    <row r="113" ht="15.75" customHeight="1">
      <c r="B113" s="55"/>
      <c r="C113" s="56"/>
      <c r="D113" s="56"/>
      <c r="E113" s="56"/>
      <c r="F113" s="56"/>
      <c r="G113" s="56"/>
      <c r="H113" s="56"/>
    </row>
    <row r="114" ht="15.75" customHeight="1">
      <c r="B114" s="55"/>
      <c r="C114" s="56"/>
      <c r="D114" s="56"/>
      <c r="E114" s="56"/>
      <c r="F114" s="56"/>
      <c r="G114" s="56"/>
      <c r="H114" s="56"/>
    </row>
    <row r="115" ht="15.75" customHeight="1">
      <c r="B115" s="55"/>
      <c r="C115" s="56"/>
      <c r="D115" s="56"/>
      <c r="E115" s="56"/>
      <c r="F115" s="56"/>
      <c r="G115" s="56"/>
      <c r="H115" s="56"/>
    </row>
    <row r="116" ht="15.75" customHeight="1">
      <c r="B116" s="55"/>
      <c r="C116" s="56"/>
      <c r="D116" s="56"/>
      <c r="E116" s="56"/>
      <c r="F116" s="56"/>
      <c r="G116" s="56"/>
      <c r="H116" s="56"/>
    </row>
    <row r="117" ht="15.75" customHeight="1">
      <c r="B117" s="55"/>
      <c r="C117" s="56"/>
      <c r="D117" s="56"/>
      <c r="E117" s="56"/>
      <c r="F117" s="56"/>
      <c r="G117" s="56"/>
      <c r="H117" s="56"/>
    </row>
    <row r="118" ht="15.75" customHeight="1">
      <c r="B118" s="55"/>
      <c r="C118" s="56"/>
      <c r="D118" s="56"/>
      <c r="E118" s="56"/>
      <c r="F118" s="56"/>
      <c r="G118" s="56"/>
      <c r="H118" s="56"/>
    </row>
    <row r="119" ht="15.75" customHeight="1">
      <c r="B119" s="55"/>
      <c r="C119" s="56"/>
      <c r="D119" s="56"/>
      <c r="E119" s="56"/>
      <c r="F119" s="56"/>
      <c r="G119" s="56"/>
      <c r="H119" s="56"/>
    </row>
    <row r="120" ht="15.75" customHeight="1">
      <c r="B120" s="55"/>
      <c r="C120" s="56"/>
      <c r="D120" s="56"/>
      <c r="E120" s="56"/>
      <c r="F120" s="56"/>
      <c r="G120" s="56"/>
      <c r="H120" s="56"/>
    </row>
    <row r="121" ht="15.75" customHeight="1">
      <c r="B121" s="55"/>
      <c r="C121" s="56"/>
      <c r="D121" s="56"/>
      <c r="E121" s="56"/>
      <c r="F121" s="56"/>
      <c r="G121" s="56"/>
      <c r="H121" s="56"/>
    </row>
    <row r="122" ht="15.75" customHeight="1">
      <c r="B122" s="55"/>
      <c r="C122" s="56"/>
      <c r="D122" s="56"/>
      <c r="E122" s="56"/>
      <c r="F122" s="56"/>
      <c r="G122" s="56"/>
      <c r="H122" s="56"/>
    </row>
    <row r="123" ht="15.75" customHeight="1">
      <c r="B123" s="55"/>
      <c r="C123" s="56"/>
      <c r="D123" s="56"/>
      <c r="E123" s="56"/>
      <c r="F123" s="56"/>
      <c r="G123" s="56"/>
      <c r="H123" s="56"/>
    </row>
    <row r="124" ht="15.75" customHeight="1">
      <c r="B124" s="55"/>
      <c r="C124" s="56"/>
      <c r="D124" s="56"/>
      <c r="E124" s="56"/>
      <c r="F124" s="56"/>
      <c r="G124" s="56"/>
      <c r="H124" s="56"/>
    </row>
    <row r="125" ht="15.75" customHeight="1">
      <c r="B125" s="55"/>
      <c r="C125" s="56"/>
      <c r="D125" s="56"/>
      <c r="E125" s="56"/>
      <c r="F125" s="56"/>
      <c r="G125" s="56"/>
      <c r="H125" s="56"/>
    </row>
    <row r="126" ht="15.75" customHeight="1">
      <c r="B126" s="55"/>
      <c r="C126" s="56"/>
      <c r="D126" s="56"/>
      <c r="E126" s="56"/>
      <c r="F126" s="56"/>
      <c r="G126" s="56"/>
      <c r="H126" s="56"/>
    </row>
    <row r="127" ht="15.75" customHeight="1">
      <c r="B127" s="55"/>
      <c r="C127" s="56"/>
      <c r="D127" s="56"/>
      <c r="E127" s="56"/>
      <c r="F127" s="56"/>
      <c r="G127" s="56"/>
      <c r="H127" s="56"/>
    </row>
    <row r="128" ht="15.75" customHeight="1">
      <c r="B128" s="55"/>
      <c r="C128" s="56"/>
      <c r="D128" s="56"/>
      <c r="E128" s="56"/>
      <c r="F128" s="56"/>
      <c r="G128" s="56"/>
      <c r="H128" s="56"/>
    </row>
    <row r="129" ht="15.75" customHeight="1">
      <c r="B129" s="55"/>
      <c r="C129" s="56"/>
      <c r="D129" s="56"/>
      <c r="E129" s="56"/>
      <c r="F129" s="56"/>
      <c r="G129" s="56"/>
      <c r="H129" s="56"/>
    </row>
    <row r="130" ht="15.75" customHeight="1">
      <c r="B130" s="55"/>
      <c r="C130" s="56"/>
      <c r="D130" s="56"/>
      <c r="E130" s="56"/>
      <c r="F130" s="56"/>
      <c r="G130" s="56"/>
      <c r="H130" s="56"/>
    </row>
    <row r="131" ht="15.75" customHeight="1">
      <c r="B131" s="55"/>
      <c r="C131" s="56"/>
      <c r="D131" s="56"/>
      <c r="E131" s="56"/>
      <c r="F131" s="56"/>
      <c r="G131" s="56"/>
      <c r="H131" s="56"/>
    </row>
    <row r="132" ht="15.75" customHeight="1">
      <c r="B132" s="55"/>
      <c r="C132" s="56"/>
      <c r="D132" s="56"/>
      <c r="E132" s="56"/>
      <c r="F132" s="56"/>
      <c r="G132" s="56"/>
      <c r="H132" s="56"/>
    </row>
    <row r="133" ht="15.75" customHeight="1">
      <c r="B133" s="55"/>
      <c r="C133" s="56"/>
      <c r="D133" s="56"/>
      <c r="E133" s="56"/>
      <c r="F133" s="56"/>
      <c r="G133" s="56"/>
      <c r="H133" s="56"/>
    </row>
    <row r="134" ht="15.75" customHeight="1">
      <c r="B134" s="55"/>
      <c r="C134" s="56"/>
      <c r="D134" s="56"/>
      <c r="E134" s="56"/>
      <c r="F134" s="56"/>
      <c r="G134" s="56"/>
      <c r="H134" s="56"/>
    </row>
    <row r="135" ht="15.75" customHeight="1">
      <c r="B135" s="55"/>
      <c r="C135" s="56"/>
      <c r="D135" s="56"/>
      <c r="E135" s="56"/>
      <c r="F135" s="56"/>
      <c r="G135" s="56"/>
      <c r="H135" s="56"/>
    </row>
    <row r="136" ht="15.75" customHeight="1">
      <c r="B136" s="55"/>
      <c r="C136" s="56"/>
      <c r="D136" s="56"/>
      <c r="E136" s="56"/>
      <c r="F136" s="56"/>
      <c r="G136" s="56"/>
      <c r="H136" s="56"/>
    </row>
    <row r="137" ht="15.75" customHeight="1">
      <c r="B137" s="55"/>
      <c r="C137" s="56"/>
      <c r="D137" s="56"/>
      <c r="E137" s="56"/>
      <c r="F137" s="56"/>
      <c r="G137" s="56"/>
      <c r="H137" s="56"/>
    </row>
    <row r="138" ht="15.75" customHeight="1">
      <c r="B138" s="55"/>
      <c r="C138" s="56"/>
      <c r="D138" s="56"/>
      <c r="E138" s="56"/>
      <c r="F138" s="56"/>
      <c r="G138" s="56"/>
      <c r="H138" s="56"/>
    </row>
    <row r="139" ht="15.75" customHeight="1">
      <c r="B139" s="55"/>
      <c r="C139" s="56"/>
      <c r="D139" s="56"/>
      <c r="E139" s="56"/>
      <c r="F139" s="56"/>
      <c r="G139" s="56"/>
      <c r="H139" s="56"/>
    </row>
    <row r="140" ht="15.75" customHeight="1">
      <c r="B140" s="55"/>
      <c r="C140" s="56"/>
      <c r="D140" s="56"/>
      <c r="E140" s="56"/>
      <c r="F140" s="56"/>
      <c r="G140" s="56"/>
      <c r="H140" s="56"/>
    </row>
    <row r="141" ht="15.75" customHeight="1">
      <c r="B141" s="55"/>
      <c r="C141" s="56"/>
      <c r="D141" s="56"/>
      <c r="E141" s="56"/>
      <c r="F141" s="56"/>
      <c r="G141" s="56"/>
      <c r="H141" s="56"/>
    </row>
    <row r="142" ht="15.75" customHeight="1">
      <c r="B142" s="55"/>
      <c r="C142" s="56"/>
      <c r="D142" s="56"/>
      <c r="E142" s="56"/>
      <c r="F142" s="56"/>
      <c r="G142" s="56"/>
      <c r="H142" s="56"/>
    </row>
    <row r="143" ht="15.75" customHeight="1">
      <c r="B143" s="55"/>
      <c r="C143" s="56"/>
      <c r="D143" s="56"/>
      <c r="E143" s="56"/>
      <c r="F143" s="56"/>
      <c r="G143" s="56"/>
      <c r="H143" s="56"/>
    </row>
    <row r="144" ht="15.75" customHeight="1">
      <c r="B144" s="55"/>
      <c r="C144" s="56"/>
      <c r="D144" s="56"/>
      <c r="E144" s="56"/>
      <c r="F144" s="56"/>
      <c r="G144" s="56"/>
      <c r="H144" s="56"/>
    </row>
    <row r="145" ht="15.75" customHeight="1">
      <c r="B145" s="55"/>
      <c r="C145" s="56"/>
      <c r="D145" s="56"/>
      <c r="E145" s="56"/>
      <c r="F145" s="56"/>
      <c r="G145" s="56"/>
      <c r="H145" s="56"/>
    </row>
    <row r="146" ht="15.75" customHeight="1">
      <c r="B146" s="55"/>
      <c r="C146" s="56"/>
      <c r="D146" s="56"/>
      <c r="E146" s="56"/>
      <c r="F146" s="56"/>
      <c r="G146" s="56"/>
      <c r="H146" s="56"/>
    </row>
    <row r="147" ht="15.75" customHeight="1">
      <c r="B147" s="55"/>
      <c r="C147" s="56"/>
      <c r="D147" s="56"/>
      <c r="E147" s="56"/>
      <c r="F147" s="56"/>
      <c r="G147" s="56"/>
      <c r="H147" s="56"/>
    </row>
    <row r="148" ht="15.75" customHeight="1">
      <c r="B148" s="55"/>
      <c r="C148" s="56"/>
      <c r="D148" s="56"/>
      <c r="E148" s="56"/>
      <c r="F148" s="56"/>
      <c r="G148" s="56"/>
      <c r="H148" s="56"/>
    </row>
    <row r="149" ht="15.75" customHeight="1">
      <c r="B149" s="55"/>
      <c r="C149" s="56"/>
      <c r="D149" s="56"/>
      <c r="E149" s="56"/>
      <c r="F149" s="56"/>
      <c r="G149" s="56"/>
      <c r="H149" s="56"/>
    </row>
    <row r="150" ht="15.75" customHeight="1">
      <c r="B150" s="55"/>
      <c r="C150" s="56"/>
      <c r="D150" s="56"/>
      <c r="E150" s="56"/>
      <c r="F150" s="56"/>
      <c r="G150" s="56"/>
      <c r="H150" s="56"/>
    </row>
    <row r="151" ht="15.75" customHeight="1">
      <c r="B151" s="55"/>
      <c r="C151" s="56"/>
      <c r="D151" s="56"/>
      <c r="E151" s="56"/>
      <c r="F151" s="56"/>
      <c r="G151" s="56"/>
      <c r="H151" s="56"/>
    </row>
    <row r="152" ht="15.75" customHeight="1">
      <c r="B152" s="55"/>
      <c r="C152" s="56"/>
      <c r="D152" s="56"/>
      <c r="E152" s="56"/>
      <c r="F152" s="56"/>
      <c r="G152" s="56"/>
      <c r="H152" s="56"/>
    </row>
    <row r="153" ht="15.75" customHeight="1">
      <c r="B153" s="55"/>
      <c r="C153" s="56"/>
      <c r="D153" s="56"/>
      <c r="E153" s="56"/>
      <c r="F153" s="56"/>
      <c r="G153" s="56"/>
      <c r="H153" s="56"/>
    </row>
    <row r="154" ht="15.75" customHeight="1">
      <c r="B154" s="55"/>
      <c r="C154" s="56"/>
      <c r="D154" s="56"/>
      <c r="E154" s="56"/>
      <c r="F154" s="56"/>
      <c r="G154" s="56"/>
      <c r="H154" s="56"/>
    </row>
    <row r="155" ht="15.75" customHeight="1">
      <c r="B155" s="55"/>
      <c r="C155" s="56"/>
      <c r="D155" s="56"/>
      <c r="E155" s="56"/>
      <c r="F155" s="56"/>
      <c r="G155" s="56"/>
      <c r="H155" s="56"/>
    </row>
    <row r="156" ht="15.75" customHeight="1">
      <c r="B156" s="55"/>
      <c r="C156" s="56"/>
      <c r="D156" s="56"/>
      <c r="E156" s="56"/>
      <c r="F156" s="56"/>
      <c r="G156" s="56"/>
      <c r="H156" s="56"/>
    </row>
    <row r="157" ht="15.75" customHeight="1">
      <c r="B157" s="55"/>
      <c r="C157" s="56"/>
      <c r="D157" s="56"/>
      <c r="E157" s="56"/>
      <c r="F157" s="56"/>
      <c r="G157" s="56"/>
      <c r="H157" s="56"/>
    </row>
    <row r="158" ht="15.75" customHeight="1">
      <c r="B158" s="55"/>
      <c r="C158" s="56"/>
      <c r="D158" s="56"/>
      <c r="E158" s="56"/>
      <c r="F158" s="56"/>
      <c r="G158" s="56"/>
      <c r="H158" s="56"/>
    </row>
    <row r="159" ht="15.75" customHeight="1">
      <c r="B159" s="55"/>
      <c r="C159" s="56"/>
      <c r="D159" s="56"/>
      <c r="E159" s="56"/>
      <c r="F159" s="56"/>
      <c r="G159" s="56"/>
      <c r="H159" s="56"/>
    </row>
    <row r="160" ht="15.75" customHeight="1">
      <c r="B160" s="55"/>
      <c r="C160" s="56"/>
      <c r="D160" s="56"/>
      <c r="E160" s="56"/>
      <c r="F160" s="56"/>
      <c r="G160" s="56"/>
      <c r="H160" s="56"/>
    </row>
    <row r="161" ht="15.75" customHeight="1">
      <c r="B161" s="55"/>
      <c r="C161" s="56"/>
      <c r="D161" s="56"/>
      <c r="E161" s="56"/>
      <c r="F161" s="56"/>
      <c r="G161" s="56"/>
      <c r="H161" s="56"/>
    </row>
    <row r="162" ht="15.75" customHeight="1">
      <c r="B162" s="55"/>
      <c r="C162" s="56"/>
      <c r="D162" s="56"/>
      <c r="E162" s="56"/>
      <c r="F162" s="56"/>
      <c r="G162" s="56"/>
      <c r="H162" s="56"/>
    </row>
    <row r="163" ht="15.75" customHeight="1">
      <c r="B163" s="55"/>
      <c r="C163" s="56"/>
      <c r="D163" s="56"/>
      <c r="E163" s="56"/>
      <c r="F163" s="56"/>
      <c r="G163" s="56"/>
      <c r="H163" s="56"/>
    </row>
    <row r="164" ht="15.75" customHeight="1">
      <c r="B164" s="55"/>
      <c r="C164" s="56"/>
      <c r="D164" s="56"/>
      <c r="E164" s="56"/>
      <c r="F164" s="56"/>
      <c r="G164" s="56"/>
      <c r="H164" s="56"/>
    </row>
    <row r="165" ht="15.75" customHeight="1">
      <c r="B165" s="55"/>
      <c r="C165" s="56"/>
      <c r="D165" s="56"/>
      <c r="E165" s="56"/>
      <c r="F165" s="56"/>
      <c r="G165" s="56"/>
      <c r="H165" s="56"/>
    </row>
    <row r="166" ht="15.75" customHeight="1">
      <c r="B166" s="55"/>
      <c r="C166" s="56"/>
      <c r="D166" s="56"/>
      <c r="E166" s="56"/>
      <c r="F166" s="56"/>
      <c r="G166" s="56"/>
      <c r="H166" s="56"/>
    </row>
    <row r="167" ht="15.75" customHeight="1">
      <c r="B167" s="55"/>
      <c r="C167" s="56"/>
      <c r="D167" s="56"/>
      <c r="E167" s="56"/>
      <c r="F167" s="56"/>
      <c r="G167" s="56"/>
      <c r="H167" s="56"/>
    </row>
    <row r="168" ht="15.75" customHeight="1">
      <c r="B168" s="55"/>
      <c r="C168" s="56"/>
      <c r="D168" s="56"/>
      <c r="E168" s="56"/>
      <c r="F168" s="56"/>
      <c r="G168" s="56"/>
      <c r="H168" s="56"/>
    </row>
    <row r="169" ht="15.75" customHeight="1">
      <c r="B169" s="55"/>
      <c r="C169" s="56"/>
      <c r="D169" s="56"/>
      <c r="E169" s="56"/>
      <c r="F169" s="56"/>
      <c r="G169" s="56"/>
      <c r="H169" s="56"/>
    </row>
    <row r="170" ht="15.75" customHeight="1">
      <c r="B170" s="55"/>
      <c r="C170" s="56"/>
      <c r="D170" s="56"/>
      <c r="E170" s="56"/>
      <c r="F170" s="56"/>
      <c r="G170" s="56"/>
      <c r="H170" s="56"/>
    </row>
    <row r="171" ht="15.75" customHeight="1">
      <c r="B171" s="55"/>
      <c r="C171" s="56"/>
      <c r="D171" s="56"/>
      <c r="E171" s="56"/>
      <c r="F171" s="56"/>
      <c r="G171" s="56"/>
      <c r="H171" s="56"/>
    </row>
    <row r="172" ht="15.75" customHeight="1">
      <c r="B172" s="55"/>
      <c r="C172" s="56"/>
      <c r="D172" s="56"/>
      <c r="E172" s="56"/>
      <c r="F172" s="56"/>
      <c r="G172" s="56"/>
      <c r="H172" s="56"/>
    </row>
    <row r="173" ht="15.75" customHeight="1">
      <c r="B173" s="55"/>
      <c r="C173" s="56"/>
      <c r="D173" s="56"/>
      <c r="E173" s="56"/>
      <c r="F173" s="56"/>
      <c r="G173" s="56"/>
      <c r="H173" s="56"/>
    </row>
    <row r="174" ht="15.75" customHeight="1">
      <c r="B174" s="55"/>
      <c r="C174" s="56"/>
      <c r="D174" s="56"/>
      <c r="E174" s="56"/>
      <c r="F174" s="56"/>
      <c r="G174" s="56"/>
      <c r="H174" s="56"/>
    </row>
    <row r="175" ht="15.75" customHeight="1">
      <c r="B175" s="55"/>
      <c r="C175" s="56"/>
      <c r="D175" s="56"/>
      <c r="E175" s="56"/>
      <c r="F175" s="56"/>
      <c r="G175" s="56"/>
      <c r="H175" s="56"/>
    </row>
    <row r="176" ht="15.75" customHeight="1">
      <c r="B176" s="55"/>
      <c r="C176" s="56"/>
      <c r="D176" s="56"/>
      <c r="E176" s="56"/>
      <c r="F176" s="56"/>
      <c r="G176" s="56"/>
      <c r="H176" s="56"/>
    </row>
    <row r="177" ht="15.75" customHeight="1">
      <c r="B177" s="55"/>
      <c r="C177" s="56"/>
      <c r="D177" s="56"/>
      <c r="E177" s="56"/>
      <c r="F177" s="56"/>
      <c r="G177" s="56"/>
      <c r="H177" s="56"/>
    </row>
    <row r="178" ht="15.75" customHeight="1">
      <c r="B178" s="55"/>
      <c r="C178" s="56"/>
      <c r="D178" s="56"/>
      <c r="E178" s="56"/>
      <c r="F178" s="56"/>
      <c r="G178" s="56"/>
      <c r="H178" s="56"/>
    </row>
    <row r="179" ht="15.75" customHeight="1">
      <c r="B179" s="55"/>
      <c r="C179" s="56"/>
      <c r="D179" s="56"/>
      <c r="E179" s="56"/>
      <c r="F179" s="56"/>
      <c r="G179" s="56"/>
      <c r="H179" s="56"/>
    </row>
    <row r="180" ht="15.75" customHeight="1">
      <c r="B180" s="55"/>
      <c r="C180" s="56"/>
      <c r="D180" s="56"/>
      <c r="E180" s="56"/>
      <c r="F180" s="56"/>
      <c r="G180" s="56"/>
      <c r="H180" s="56"/>
    </row>
    <row r="181" ht="15.75" customHeight="1">
      <c r="B181" s="55"/>
      <c r="C181" s="56"/>
      <c r="D181" s="56"/>
      <c r="E181" s="56"/>
      <c r="F181" s="56"/>
      <c r="G181" s="56"/>
      <c r="H181" s="56"/>
    </row>
    <row r="182" ht="15.75" customHeight="1">
      <c r="B182" s="55"/>
      <c r="C182" s="56"/>
      <c r="D182" s="56"/>
      <c r="E182" s="56"/>
      <c r="F182" s="56"/>
      <c r="G182" s="56"/>
      <c r="H182" s="56"/>
    </row>
    <row r="183" ht="15.75" customHeight="1">
      <c r="B183" s="55"/>
      <c r="C183" s="56"/>
      <c r="D183" s="56"/>
      <c r="E183" s="56"/>
      <c r="F183" s="56"/>
      <c r="G183" s="56"/>
      <c r="H183" s="56"/>
    </row>
    <row r="184" ht="15.75" customHeight="1">
      <c r="B184" s="55"/>
      <c r="C184" s="56"/>
      <c r="D184" s="56"/>
      <c r="E184" s="56"/>
      <c r="F184" s="56"/>
      <c r="G184" s="56"/>
      <c r="H184" s="56"/>
    </row>
    <row r="185" ht="15.75" customHeight="1">
      <c r="B185" s="55"/>
      <c r="C185" s="56"/>
      <c r="D185" s="56"/>
      <c r="E185" s="56"/>
      <c r="F185" s="56"/>
      <c r="G185" s="56"/>
      <c r="H185" s="56"/>
    </row>
    <row r="186" ht="15.75" customHeight="1">
      <c r="B186" s="55"/>
      <c r="C186" s="56"/>
      <c r="D186" s="56"/>
      <c r="E186" s="56"/>
      <c r="F186" s="56"/>
      <c r="G186" s="56"/>
      <c r="H186" s="56"/>
    </row>
    <row r="187" ht="15.75" customHeight="1">
      <c r="B187" s="55"/>
      <c r="C187" s="56"/>
      <c r="D187" s="56"/>
      <c r="E187" s="56"/>
      <c r="F187" s="56"/>
      <c r="G187" s="56"/>
      <c r="H187" s="56"/>
    </row>
    <row r="188" ht="15.75" customHeight="1">
      <c r="B188" s="55"/>
      <c r="C188" s="56"/>
      <c r="D188" s="56"/>
      <c r="E188" s="56"/>
      <c r="F188" s="56"/>
      <c r="G188" s="56"/>
      <c r="H188" s="56"/>
    </row>
    <row r="189" ht="15.75" customHeight="1">
      <c r="B189" s="55"/>
      <c r="C189" s="56"/>
      <c r="D189" s="56"/>
      <c r="E189" s="56"/>
      <c r="F189" s="56"/>
      <c r="G189" s="56"/>
      <c r="H189" s="56"/>
    </row>
    <row r="190" ht="15.75" customHeight="1">
      <c r="B190" s="55"/>
      <c r="C190" s="56"/>
      <c r="D190" s="56"/>
      <c r="E190" s="56"/>
      <c r="F190" s="56"/>
      <c r="G190" s="56"/>
      <c r="H190" s="56"/>
    </row>
    <row r="191" ht="15.75" customHeight="1">
      <c r="B191" s="55"/>
      <c r="C191" s="56"/>
      <c r="D191" s="56"/>
      <c r="E191" s="56"/>
      <c r="F191" s="56"/>
      <c r="G191" s="56"/>
      <c r="H191" s="56"/>
    </row>
    <row r="192" ht="15.75" customHeight="1">
      <c r="B192" s="55"/>
      <c r="C192" s="56"/>
      <c r="D192" s="56"/>
      <c r="E192" s="56"/>
      <c r="F192" s="56"/>
      <c r="G192" s="56"/>
      <c r="H192" s="56"/>
    </row>
    <row r="193" ht="15.75" customHeight="1">
      <c r="B193" s="55"/>
      <c r="C193" s="56"/>
      <c r="D193" s="56"/>
      <c r="E193" s="56"/>
      <c r="F193" s="56"/>
      <c r="G193" s="56"/>
      <c r="H193" s="56"/>
    </row>
    <row r="194" ht="15.75" customHeight="1">
      <c r="B194" s="55"/>
      <c r="C194" s="56"/>
      <c r="D194" s="56"/>
      <c r="E194" s="56"/>
      <c r="F194" s="56"/>
      <c r="G194" s="56"/>
      <c r="H194" s="56"/>
    </row>
    <row r="195" ht="15.75" customHeight="1">
      <c r="B195" s="55"/>
      <c r="C195" s="56"/>
      <c r="D195" s="56"/>
      <c r="E195" s="56"/>
      <c r="F195" s="56"/>
      <c r="G195" s="56"/>
      <c r="H195" s="56"/>
    </row>
    <row r="196" ht="15.75" customHeight="1">
      <c r="B196" s="55"/>
      <c r="C196" s="56"/>
      <c r="D196" s="56"/>
      <c r="E196" s="56"/>
      <c r="F196" s="56"/>
      <c r="G196" s="56"/>
      <c r="H196" s="56"/>
    </row>
    <row r="197" ht="15.75" customHeight="1">
      <c r="B197" s="55"/>
      <c r="C197" s="56"/>
      <c r="D197" s="56"/>
      <c r="E197" s="56"/>
      <c r="F197" s="56"/>
      <c r="G197" s="56"/>
      <c r="H197" s="56"/>
    </row>
    <row r="198" ht="15.75" customHeight="1">
      <c r="B198" s="55"/>
      <c r="C198" s="56"/>
      <c r="D198" s="56"/>
      <c r="E198" s="56"/>
      <c r="F198" s="56"/>
      <c r="G198" s="56"/>
      <c r="H198" s="56"/>
    </row>
    <row r="199" ht="15.75" customHeight="1">
      <c r="B199" s="55"/>
      <c r="C199" s="56"/>
      <c r="D199" s="56"/>
      <c r="E199" s="56"/>
      <c r="F199" s="56"/>
      <c r="G199" s="56"/>
      <c r="H199" s="56"/>
    </row>
    <row r="200" ht="15.75" customHeight="1">
      <c r="B200" s="55"/>
      <c r="C200" s="56"/>
      <c r="D200" s="56"/>
      <c r="E200" s="56"/>
      <c r="F200" s="56"/>
      <c r="G200" s="56"/>
      <c r="H200" s="56"/>
    </row>
    <row r="201" ht="15.75" customHeight="1">
      <c r="B201" s="55"/>
      <c r="C201" s="56"/>
      <c r="D201" s="56"/>
      <c r="E201" s="56"/>
      <c r="F201" s="56"/>
      <c r="G201" s="56"/>
      <c r="H201" s="56"/>
    </row>
    <row r="202" ht="15.75" customHeight="1">
      <c r="B202" s="55"/>
      <c r="C202" s="56"/>
      <c r="D202" s="56"/>
      <c r="E202" s="56"/>
      <c r="F202" s="56"/>
      <c r="G202" s="56"/>
      <c r="H202" s="56"/>
    </row>
    <row r="203" ht="15.75" customHeight="1">
      <c r="B203" s="55"/>
      <c r="C203" s="56"/>
      <c r="D203" s="56"/>
      <c r="E203" s="56"/>
      <c r="F203" s="56"/>
      <c r="G203" s="56"/>
      <c r="H203" s="56"/>
    </row>
    <row r="204" ht="15.75" customHeight="1">
      <c r="B204" s="55"/>
      <c r="C204" s="56"/>
      <c r="D204" s="56"/>
      <c r="E204" s="56"/>
      <c r="F204" s="56"/>
      <c r="G204" s="56"/>
      <c r="H204" s="56"/>
    </row>
    <row r="205" ht="15.75" customHeight="1">
      <c r="B205" s="55"/>
      <c r="C205" s="56"/>
      <c r="D205" s="56"/>
      <c r="E205" s="56"/>
      <c r="F205" s="56"/>
      <c r="G205" s="56"/>
      <c r="H205" s="56"/>
    </row>
    <row r="206" ht="15.75" customHeight="1">
      <c r="B206" s="55"/>
      <c r="C206" s="56"/>
      <c r="D206" s="56"/>
      <c r="E206" s="56"/>
      <c r="F206" s="56"/>
      <c r="G206" s="56"/>
      <c r="H206" s="56"/>
    </row>
    <row r="207" ht="15.75" customHeight="1">
      <c r="B207" s="55"/>
      <c r="C207" s="56"/>
      <c r="D207" s="56"/>
      <c r="E207" s="56"/>
      <c r="F207" s="56"/>
      <c r="G207" s="56"/>
      <c r="H207" s="56"/>
    </row>
    <row r="208" ht="15.75" customHeight="1">
      <c r="B208" s="55"/>
      <c r="C208" s="56"/>
      <c r="D208" s="56"/>
      <c r="E208" s="56"/>
      <c r="F208" s="56"/>
      <c r="G208" s="56"/>
      <c r="H208" s="56"/>
    </row>
    <row r="209" ht="15.75" customHeight="1">
      <c r="B209" s="55"/>
      <c r="C209" s="56"/>
      <c r="D209" s="56"/>
      <c r="E209" s="56"/>
      <c r="F209" s="56"/>
      <c r="G209" s="56"/>
      <c r="H209" s="56"/>
    </row>
    <row r="210" ht="15.75" customHeight="1">
      <c r="B210" s="55"/>
      <c r="C210" s="56"/>
      <c r="D210" s="56"/>
      <c r="E210" s="56"/>
      <c r="F210" s="56"/>
      <c r="G210" s="56"/>
      <c r="H210" s="56"/>
    </row>
    <row r="211" ht="15.75" customHeight="1">
      <c r="B211" s="55"/>
      <c r="C211" s="56"/>
      <c r="D211" s="56"/>
      <c r="E211" s="56"/>
      <c r="F211" s="56"/>
      <c r="G211" s="56"/>
      <c r="H211" s="56"/>
    </row>
    <row r="212" ht="15.75" customHeight="1">
      <c r="B212" s="55"/>
      <c r="C212" s="56"/>
      <c r="D212" s="56"/>
      <c r="E212" s="56"/>
      <c r="F212" s="56"/>
      <c r="G212" s="56"/>
      <c r="H212" s="56"/>
    </row>
    <row r="213" ht="15.75" customHeight="1">
      <c r="B213" s="55"/>
      <c r="C213" s="56"/>
      <c r="D213" s="56"/>
      <c r="E213" s="56"/>
      <c r="F213" s="56"/>
      <c r="G213" s="56"/>
      <c r="H213" s="56"/>
    </row>
    <row r="214" ht="15.75" customHeight="1">
      <c r="B214" s="55"/>
      <c r="C214" s="56"/>
      <c r="D214" s="56"/>
      <c r="E214" s="56"/>
      <c r="F214" s="56"/>
      <c r="G214" s="56"/>
      <c r="H214" s="56"/>
    </row>
    <row r="215" ht="15.75" customHeight="1">
      <c r="B215" s="55"/>
      <c r="C215" s="56"/>
      <c r="D215" s="56"/>
      <c r="E215" s="56"/>
      <c r="F215" s="56"/>
      <c r="G215" s="56"/>
      <c r="H215" s="56"/>
    </row>
    <row r="216" ht="15.75" customHeight="1">
      <c r="B216" s="55"/>
      <c r="C216" s="56"/>
      <c r="D216" s="56"/>
      <c r="E216" s="56"/>
      <c r="F216" s="56"/>
      <c r="G216" s="56"/>
      <c r="H216" s="56"/>
    </row>
    <row r="217" ht="15.75" customHeight="1">
      <c r="B217" s="55"/>
      <c r="C217" s="56"/>
      <c r="D217" s="56"/>
      <c r="E217" s="56"/>
      <c r="F217" s="56"/>
      <c r="G217" s="56"/>
      <c r="H217" s="56"/>
    </row>
    <row r="218" ht="15.75" customHeight="1">
      <c r="B218" s="55"/>
      <c r="C218" s="56"/>
      <c r="D218" s="56"/>
      <c r="E218" s="56"/>
      <c r="F218" s="56"/>
      <c r="G218" s="56"/>
      <c r="H218" s="56"/>
    </row>
    <row r="219" ht="15.75" customHeight="1">
      <c r="B219" s="55"/>
      <c r="C219" s="56"/>
      <c r="D219" s="56"/>
      <c r="E219" s="56"/>
      <c r="F219" s="56"/>
      <c r="G219" s="56"/>
      <c r="H219" s="56"/>
    </row>
    <row r="220" ht="15.75" customHeight="1">
      <c r="B220" s="55"/>
      <c r="C220" s="56"/>
      <c r="D220" s="56"/>
      <c r="E220" s="56"/>
      <c r="F220" s="56"/>
      <c r="G220" s="56"/>
      <c r="H220" s="56"/>
    </row>
    <row r="221" ht="15.75" customHeight="1">
      <c r="B221" s="55"/>
      <c r="C221" s="56"/>
      <c r="D221" s="56"/>
      <c r="E221" s="56"/>
      <c r="F221" s="56"/>
      <c r="G221" s="56"/>
      <c r="H221" s="56"/>
    </row>
    <row r="222" ht="15.75" customHeight="1">
      <c r="B222" s="55"/>
      <c r="C222" s="56"/>
      <c r="D222" s="56"/>
      <c r="E222" s="56"/>
      <c r="F222" s="56"/>
      <c r="G222" s="56"/>
      <c r="H222" s="56"/>
    </row>
    <row r="223" ht="15.75" customHeight="1">
      <c r="B223" s="55"/>
      <c r="C223" s="56"/>
      <c r="D223" s="56"/>
      <c r="E223" s="56"/>
      <c r="F223" s="56"/>
      <c r="G223" s="56"/>
      <c r="H223" s="56"/>
    </row>
    <row r="224" ht="15.75" customHeight="1">
      <c r="B224" s="55"/>
      <c r="C224" s="56"/>
      <c r="D224" s="56"/>
      <c r="E224" s="56"/>
      <c r="F224" s="56"/>
      <c r="G224" s="56"/>
      <c r="H224" s="56"/>
    </row>
    <row r="225" ht="15.75" customHeight="1">
      <c r="B225" s="55"/>
      <c r="C225" s="56"/>
      <c r="D225" s="56"/>
      <c r="E225" s="56"/>
      <c r="F225" s="56"/>
      <c r="G225" s="56"/>
      <c r="H225" s="56"/>
    </row>
    <row r="226" ht="15.75" customHeight="1">
      <c r="B226" s="55"/>
      <c r="C226" s="56"/>
      <c r="D226" s="56"/>
      <c r="E226" s="56"/>
      <c r="F226" s="56"/>
      <c r="G226" s="56"/>
      <c r="H226" s="56"/>
    </row>
    <row r="227" ht="15.75" customHeight="1">
      <c r="B227" s="55"/>
      <c r="C227" s="56"/>
      <c r="D227" s="56"/>
      <c r="E227" s="56"/>
      <c r="F227" s="56"/>
      <c r="G227" s="56"/>
      <c r="H227" s="56"/>
    </row>
    <row r="228" ht="15.75" customHeight="1">
      <c r="B228" s="55"/>
      <c r="C228" s="56"/>
      <c r="D228" s="56"/>
      <c r="E228" s="56"/>
      <c r="F228" s="56"/>
      <c r="G228" s="56"/>
      <c r="H228" s="56"/>
    </row>
    <row r="229" ht="15.75" customHeight="1">
      <c r="B229" s="55"/>
      <c r="C229" s="56"/>
      <c r="D229" s="56"/>
      <c r="E229" s="56"/>
      <c r="F229" s="56"/>
      <c r="G229" s="56"/>
      <c r="H229" s="56"/>
    </row>
    <row r="230" ht="15.75" customHeight="1">
      <c r="B230" s="55"/>
      <c r="C230" s="56"/>
      <c r="D230" s="56"/>
      <c r="E230" s="56"/>
      <c r="F230" s="56"/>
      <c r="G230" s="56"/>
      <c r="H230" s="56"/>
    </row>
    <row r="231" ht="15.75" customHeight="1">
      <c r="B231" s="55"/>
      <c r="C231" s="56"/>
      <c r="D231" s="56"/>
      <c r="E231" s="56"/>
      <c r="F231" s="56"/>
      <c r="G231" s="56"/>
      <c r="H231" s="56"/>
    </row>
    <row r="232" ht="15.75" customHeight="1">
      <c r="B232" s="55"/>
      <c r="C232" s="56"/>
      <c r="D232" s="56"/>
      <c r="E232" s="56"/>
      <c r="F232" s="56"/>
      <c r="G232" s="56"/>
      <c r="H232" s="56"/>
    </row>
    <row r="233" ht="15.75" customHeight="1">
      <c r="B233" s="55"/>
      <c r="C233" s="56"/>
      <c r="D233" s="56"/>
      <c r="E233" s="56"/>
      <c r="F233" s="56"/>
      <c r="G233" s="56"/>
      <c r="H233" s="56"/>
    </row>
    <row r="234" ht="15.75" customHeight="1">
      <c r="B234" s="55"/>
      <c r="C234" s="56"/>
      <c r="D234" s="56"/>
      <c r="E234" s="56"/>
      <c r="F234" s="56"/>
      <c r="G234" s="56"/>
      <c r="H234" s="56"/>
    </row>
    <row r="235" ht="15.75" customHeight="1">
      <c r="B235" s="55"/>
      <c r="C235" s="56"/>
      <c r="D235" s="56"/>
      <c r="E235" s="56"/>
      <c r="F235" s="56"/>
      <c r="G235" s="56"/>
      <c r="H235" s="56"/>
    </row>
    <row r="236" ht="15.75" customHeight="1">
      <c r="B236" s="55"/>
      <c r="C236" s="56"/>
      <c r="D236" s="56"/>
      <c r="E236" s="56"/>
      <c r="F236" s="56"/>
      <c r="G236" s="56"/>
      <c r="H236" s="56"/>
    </row>
    <row r="237" ht="15.75" customHeight="1">
      <c r="B237" s="55"/>
      <c r="C237" s="56"/>
      <c r="D237" s="56"/>
      <c r="E237" s="56"/>
      <c r="F237" s="56"/>
      <c r="G237" s="56"/>
      <c r="H237" s="56"/>
    </row>
    <row r="238" ht="15.75" customHeight="1">
      <c r="B238" s="55"/>
      <c r="C238" s="56"/>
      <c r="D238" s="56"/>
      <c r="E238" s="56"/>
      <c r="F238" s="56"/>
      <c r="G238" s="56"/>
      <c r="H238" s="56"/>
    </row>
    <row r="239" ht="15.75" customHeight="1">
      <c r="B239" s="55"/>
      <c r="C239" s="56"/>
      <c r="D239" s="56"/>
      <c r="E239" s="56"/>
      <c r="F239" s="56"/>
      <c r="G239" s="56"/>
      <c r="H239" s="56"/>
    </row>
    <row r="240" ht="15.75" customHeight="1">
      <c r="B240" s="55"/>
      <c r="C240" s="56"/>
      <c r="D240" s="56"/>
      <c r="E240" s="56"/>
      <c r="F240" s="56"/>
      <c r="G240" s="56"/>
      <c r="H240" s="56"/>
    </row>
    <row r="241" ht="15.75" customHeight="1">
      <c r="B241" s="55"/>
      <c r="C241" s="56"/>
      <c r="D241" s="56"/>
      <c r="E241" s="56"/>
      <c r="F241" s="56"/>
      <c r="G241" s="56"/>
      <c r="H241" s="56"/>
    </row>
    <row r="242" ht="15.75" customHeight="1">
      <c r="B242" s="55"/>
      <c r="C242" s="56"/>
      <c r="D242" s="56"/>
      <c r="E242" s="56"/>
      <c r="F242" s="56"/>
      <c r="G242" s="56"/>
      <c r="H242" s="56"/>
    </row>
    <row r="243" ht="15.75" customHeight="1">
      <c r="B243" s="55"/>
      <c r="C243" s="56"/>
      <c r="D243" s="56"/>
      <c r="E243" s="56"/>
      <c r="F243" s="56"/>
      <c r="G243" s="56"/>
      <c r="H243" s="56"/>
    </row>
    <row r="244" ht="15.75" customHeight="1">
      <c r="B244" s="55"/>
      <c r="C244" s="56"/>
      <c r="D244" s="56"/>
      <c r="E244" s="56"/>
      <c r="F244" s="56"/>
      <c r="G244" s="56"/>
      <c r="H244" s="56"/>
    </row>
    <row r="245" ht="15.75" customHeight="1">
      <c r="B245" s="55"/>
      <c r="C245" s="56"/>
      <c r="D245" s="56"/>
      <c r="E245" s="56"/>
      <c r="F245" s="56"/>
      <c r="G245" s="56"/>
      <c r="H245" s="56"/>
    </row>
    <row r="246" ht="15.75" customHeight="1">
      <c r="B246" s="55"/>
      <c r="C246" s="56"/>
      <c r="D246" s="56"/>
      <c r="E246" s="56"/>
      <c r="F246" s="56"/>
      <c r="G246" s="56"/>
      <c r="H246" s="56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7:A30"/>
    <mergeCell ref="A31:A34"/>
    <mergeCell ref="A35:A38"/>
    <mergeCell ref="A39:A42"/>
    <mergeCell ref="A43:A46"/>
    <mergeCell ref="A1:I1"/>
    <mergeCell ref="A3:A6"/>
    <mergeCell ref="A7:A10"/>
    <mergeCell ref="A11:A14"/>
    <mergeCell ref="A15:A18"/>
    <mergeCell ref="A19:A22"/>
    <mergeCell ref="A23:A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